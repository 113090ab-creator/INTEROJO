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유현아\Downloads\"/>
    </mc:Choice>
  </mc:AlternateContent>
  <xr:revisionPtr revIDLastSave="0" documentId="8_{DE46A3C5-F56E-4F49-BE26-9131C3BF9D4D}" xr6:coauthVersionLast="47" xr6:coauthVersionMax="47" xr10:uidLastSave="{00000000-0000-0000-0000-000000000000}"/>
  <bookViews>
    <workbookView xWindow="-120" yWindow="-120" windowWidth="29040" windowHeight="15720" xr2:uid="{CBA34F95-F238-458B-A237-C476F165A734}"/>
  </bookViews>
  <sheets>
    <sheet name="I.납품일정" sheetId="1" r:id="rId1"/>
    <sheet name="II.리드지재고관리" sheetId="5" r:id="rId2"/>
    <sheet name="RD.참조DATA" sheetId="2" r:id="rId3"/>
    <sheet name="RD.재고현황" sheetId="3" r:id="rId4"/>
  </sheets>
  <externalReferences>
    <externalReference r:id="rId5"/>
  </externalReferences>
  <definedNames>
    <definedName name="_xlnm._FilterDatabase" localSheetId="0" hidden="1">I.납품일정!$B$4:$AJ$96</definedName>
    <definedName name="제품목록">'RD.참조DATA'!$A:$F</definedName>
  </definedNames>
  <calcPr calcId="191029"/>
  <pivotCaches>
    <pivotCache cacheId="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40" i="1"/>
  <c r="D41" i="1"/>
  <c r="D42" i="1"/>
  <c r="O66" i="1"/>
  <c r="N66" i="1" s="1"/>
  <c r="D66" i="1"/>
  <c r="O85" i="1"/>
  <c r="N85" i="1" s="1"/>
  <c r="O86" i="1"/>
  <c r="N86" i="1" s="1"/>
  <c r="O87" i="1"/>
  <c r="N87" i="1" s="1"/>
  <c r="O84" i="1" l="1"/>
  <c r="N84" i="1" s="1"/>
  <c r="O79" i="1"/>
  <c r="N79" i="1" s="1"/>
  <c r="O80" i="1"/>
  <c r="N80" i="1" s="1"/>
  <c r="O81" i="1"/>
  <c r="N81" i="1" s="1"/>
  <c r="O82" i="1"/>
  <c r="N82" i="1" s="1"/>
  <c r="O83" i="1"/>
  <c r="N83" i="1" s="1"/>
  <c r="O65" i="1"/>
  <c r="N65" i="1" s="1"/>
  <c r="D65" i="1"/>
  <c r="O64" i="1"/>
  <c r="D64" i="1"/>
  <c r="O70" i="1"/>
  <c r="N70" i="1" s="1"/>
  <c r="O71" i="1"/>
  <c r="N71" i="1" s="1"/>
  <c r="O72" i="1"/>
  <c r="N72" i="1" s="1"/>
  <c r="O73" i="1"/>
  <c r="N73" i="1" s="1"/>
  <c r="O74" i="1"/>
  <c r="N74" i="1" s="1"/>
  <c r="O75" i="1"/>
  <c r="N75" i="1" s="1"/>
  <c r="O76" i="1"/>
  <c r="N76" i="1" s="1"/>
  <c r="O77" i="1"/>
  <c r="N77" i="1" s="1"/>
  <c r="O78" i="1"/>
  <c r="N78" i="1" s="1"/>
  <c r="O49" i="1"/>
  <c r="O7" i="1"/>
  <c r="N7" i="1" s="1"/>
  <c r="D7" i="1"/>
  <c r="F96" i="1"/>
  <c r="O57" i="1"/>
  <c r="N57" i="1" s="1"/>
  <c r="O69" i="1"/>
  <c r="N69" i="1" s="1"/>
  <c r="O58" i="1"/>
  <c r="N58" i="1" s="1"/>
  <c r="O59" i="1"/>
  <c r="N59" i="1" s="1"/>
  <c r="O60" i="1"/>
  <c r="N60" i="1" s="1"/>
  <c r="O61" i="1"/>
  <c r="N61" i="1" s="1"/>
  <c r="O67" i="1"/>
  <c r="N67" i="1" s="1"/>
  <c r="O63" i="1"/>
  <c r="D63" i="1"/>
  <c r="O50" i="1"/>
  <c r="O51" i="1"/>
  <c r="O52" i="1"/>
  <c r="O53" i="1"/>
  <c r="O68" i="1"/>
  <c r="O54" i="1"/>
  <c r="O55" i="1"/>
  <c r="O56" i="1"/>
  <c r="N56" i="1" s="1"/>
  <c r="T96" i="1" l="1"/>
  <c r="O46" i="1" l="1"/>
  <c r="N46" i="1" s="1"/>
  <c r="O47" i="1"/>
  <c r="N47" i="1" s="1"/>
  <c r="O48" i="1"/>
  <c r="N48" i="1" s="1"/>
  <c r="O6" i="1"/>
  <c r="N6" i="1" s="1"/>
  <c r="O5" i="1"/>
  <c r="N5" i="1" s="1"/>
  <c r="N55" i="1"/>
  <c r="N54" i="1"/>
  <c r="N68" i="1"/>
  <c r="N53" i="1"/>
  <c r="D6" i="1"/>
  <c r="N52" i="1"/>
  <c r="N51" i="1"/>
  <c r="N50" i="1"/>
  <c r="N49" i="1"/>
  <c r="AE96" i="1"/>
  <c r="AF96" i="1"/>
  <c r="AG96" i="1"/>
  <c r="AH96" i="1"/>
  <c r="O42" i="1" l="1"/>
  <c r="N42" i="1" s="1"/>
  <c r="O43" i="1"/>
  <c r="N43" i="1" s="1"/>
  <c r="O44" i="1"/>
  <c r="N44" i="1" s="1"/>
  <c r="O45" i="1"/>
  <c r="N45" i="1" s="1"/>
  <c r="AJ39" i="1"/>
  <c r="AJ40" i="1"/>
  <c r="AJ41" i="1"/>
  <c r="AJ42" i="1"/>
  <c r="AC96" i="1"/>
  <c r="AD96" i="1"/>
  <c r="P96" i="1"/>
  <c r="Q96" i="1"/>
  <c r="R96" i="1"/>
  <c r="S96" i="1"/>
  <c r="U96" i="1"/>
  <c r="V96" i="1"/>
  <c r="W96" i="1"/>
  <c r="X96" i="1"/>
  <c r="Y96" i="1"/>
  <c r="Z96" i="1"/>
  <c r="AA96" i="1"/>
  <c r="AB96" i="1"/>
  <c r="AJ62" i="1"/>
  <c r="AJ5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89" i="1"/>
  <c r="AJ90" i="1"/>
  <c r="AJ91" i="1"/>
  <c r="AJ93" i="1"/>
  <c r="AJ94" i="1"/>
  <c r="AJ95" i="1"/>
  <c r="O34" i="1"/>
  <c r="O35" i="1"/>
  <c r="O36" i="1"/>
  <c r="O37" i="1"/>
  <c r="O38" i="1"/>
  <c r="O39" i="1"/>
  <c r="N39" i="1" s="1"/>
  <c r="O40" i="1"/>
  <c r="N40" i="1" s="1"/>
  <c r="O41" i="1"/>
  <c r="N41" i="1" s="1"/>
  <c r="M33" i="1" l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62" i="1"/>
  <c r="N34" i="1"/>
  <c r="N35" i="1"/>
  <c r="N36" i="1"/>
  <c r="N37" i="1"/>
  <c r="N38" i="1"/>
  <c r="O62" i="1" l="1"/>
  <c r="N62" i="1" s="1"/>
  <c r="D62" i="1"/>
  <c r="D5" i="1"/>
  <c r="O31" i="1"/>
  <c r="N31" i="1" s="1"/>
  <c r="O8" i="1"/>
  <c r="N8" i="1" s="1"/>
  <c r="O9" i="1"/>
  <c r="N9" i="1" s="1"/>
  <c r="O10" i="1"/>
  <c r="N10" i="1" s="1"/>
  <c r="O11" i="1"/>
  <c r="N11" i="1" s="1"/>
  <c r="O12" i="1"/>
  <c r="N12" i="1" s="1"/>
  <c r="O13" i="1"/>
  <c r="N13" i="1" s="1"/>
  <c r="O14" i="1"/>
  <c r="N14" i="1" s="1"/>
  <c r="O15" i="1"/>
  <c r="N15" i="1" s="1"/>
  <c r="O16" i="1"/>
  <c r="N16" i="1" s="1"/>
  <c r="O17" i="1"/>
  <c r="N17" i="1" s="1"/>
  <c r="O18" i="1"/>
  <c r="N18" i="1" s="1"/>
  <c r="O19" i="1"/>
  <c r="N19" i="1" s="1"/>
  <c r="O20" i="1"/>
  <c r="N20" i="1" s="1"/>
  <c r="O21" i="1"/>
  <c r="N21" i="1" s="1"/>
  <c r="O22" i="1"/>
  <c r="N22" i="1" s="1"/>
  <c r="O23" i="1"/>
  <c r="N23" i="1" s="1"/>
  <c r="O24" i="1"/>
  <c r="N24" i="1" s="1"/>
  <c r="O25" i="1"/>
  <c r="N25" i="1" s="1"/>
  <c r="O26" i="1"/>
  <c r="N26" i="1" s="1"/>
  <c r="O27" i="1"/>
  <c r="N27" i="1" s="1"/>
  <c r="O28" i="1"/>
  <c r="N28" i="1" s="1"/>
  <c r="O29" i="1"/>
  <c r="N29" i="1" s="1"/>
  <c r="O30" i="1"/>
  <c r="N30" i="1" s="1"/>
  <c r="O32" i="1"/>
  <c r="N32" i="1" s="1"/>
  <c r="O33" i="1"/>
  <c r="N33" i="1" s="1"/>
  <c r="O91" i="1"/>
  <c r="N91" i="1" s="1"/>
  <c r="O93" i="1"/>
  <c r="N93" i="1" s="1"/>
  <c r="O94" i="1"/>
  <c r="N94" i="1" s="1"/>
  <c r="O95" i="1"/>
  <c r="N95" i="1" s="1"/>
  <c r="AI96" i="1"/>
  <c r="N96" i="1" l="1"/>
  <c r="O96" i="1"/>
  <c r="M96" i="1"/>
</calcChain>
</file>

<file path=xl/sharedStrings.xml><?xml version="1.0" encoding="utf-8"?>
<sst xmlns="http://schemas.openxmlformats.org/spreadsheetml/2006/main" count="6461" uniqueCount="1277">
  <si>
    <t>비 고</t>
    <phoneticPr fontId="1" type="noConversion"/>
  </si>
  <si>
    <t>규 격</t>
    <phoneticPr fontId="1" type="noConversion"/>
  </si>
  <si>
    <t xml:space="preserve"> </t>
    <phoneticPr fontId="1" type="noConversion"/>
  </si>
  <si>
    <t>발주일자</t>
    <phoneticPr fontId="1" type="noConversion"/>
  </si>
  <si>
    <t>PO량</t>
    <phoneticPr fontId="1" type="noConversion"/>
  </si>
  <si>
    <t>세부사항</t>
    <phoneticPr fontId="1" type="noConversion"/>
  </si>
  <si>
    <t>계</t>
    <phoneticPr fontId="1" type="noConversion"/>
  </si>
  <si>
    <t>PO잔량</t>
    <phoneticPr fontId="1" type="noConversion"/>
  </si>
  <si>
    <t>Sample 태국 MGM 3종</t>
    <phoneticPr fontId="1" type="noConversion"/>
  </si>
  <si>
    <t>BS0054</t>
    <phoneticPr fontId="1" type="noConversion"/>
  </si>
  <si>
    <t>BS0176</t>
    <phoneticPr fontId="1" type="noConversion"/>
  </si>
  <si>
    <t>BS0057</t>
    <phoneticPr fontId="1" type="noConversion"/>
  </si>
  <si>
    <t>BS0265</t>
    <phoneticPr fontId="1" type="noConversion"/>
  </si>
  <si>
    <t>BS0073</t>
    <phoneticPr fontId="1" type="noConversion"/>
  </si>
  <si>
    <t>BS0149</t>
    <phoneticPr fontId="1" type="noConversion"/>
  </si>
  <si>
    <t>BS0341</t>
    <phoneticPr fontId="1" type="noConversion"/>
  </si>
  <si>
    <t>BS0318</t>
    <phoneticPr fontId="1" type="noConversion"/>
  </si>
  <si>
    <t>BS0317</t>
    <phoneticPr fontId="1" type="noConversion"/>
  </si>
  <si>
    <t>BS0337</t>
    <phoneticPr fontId="1" type="noConversion"/>
  </si>
  <si>
    <t>BS0270</t>
    <phoneticPr fontId="1" type="noConversion"/>
  </si>
  <si>
    <t>BS0333</t>
    <phoneticPr fontId="1" type="noConversion"/>
  </si>
  <si>
    <t>BS0057</t>
    <phoneticPr fontId="1" type="noConversion"/>
  </si>
  <si>
    <t>BS0115</t>
    <phoneticPr fontId="1" type="noConversion"/>
  </si>
  <si>
    <t>BS0053</t>
    <phoneticPr fontId="1" type="noConversion"/>
  </si>
  <si>
    <t>BS0343</t>
    <phoneticPr fontId="1" type="noConversion"/>
  </si>
  <si>
    <t>BS0149</t>
    <phoneticPr fontId="1" type="noConversion"/>
  </si>
  <si>
    <t>BS0086</t>
    <phoneticPr fontId="1" type="noConversion"/>
  </si>
  <si>
    <t>BS0316</t>
    <phoneticPr fontId="1" type="noConversion"/>
  </si>
  <si>
    <t>Sample Sincere Pium 1종</t>
    <phoneticPr fontId="1" type="noConversion"/>
  </si>
  <si>
    <t>Sample BS0343-001렌즈미 CleanFit O2 clear 1Day 1종</t>
    <phoneticPr fontId="1" type="noConversion"/>
  </si>
  <si>
    <t>BS0095</t>
    <phoneticPr fontId="1" type="noConversion"/>
  </si>
  <si>
    <t>BS0336</t>
    <phoneticPr fontId="1" type="noConversion"/>
  </si>
  <si>
    <t>BS0344</t>
    <phoneticPr fontId="1" type="noConversion"/>
  </si>
  <si>
    <t>BS0007</t>
    <phoneticPr fontId="1" type="noConversion"/>
  </si>
  <si>
    <t>BS0103</t>
    <phoneticPr fontId="1" type="noConversion"/>
  </si>
  <si>
    <t>BS0261</t>
    <phoneticPr fontId="1" type="noConversion"/>
  </si>
  <si>
    <t>BS0036</t>
    <phoneticPr fontId="1" type="noConversion"/>
  </si>
  <si>
    <t>작지No.</t>
    <phoneticPr fontId="1" type="noConversion"/>
  </si>
  <si>
    <t>품목코드</t>
  </si>
  <si>
    <t>규격</t>
  </si>
  <si>
    <t>품목명</t>
  </si>
  <si>
    <t>품목구분</t>
  </si>
  <si>
    <t>대분류코드</t>
  </si>
  <si>
    <t>중분류코드</t>
  </si>
  <si>
    <t>BS0001</t>
  </si>
  <si>
    <t>SJ-170</t>
  </si>
  <si>
    <t>블리스터케이스(소사각-SJ)</t>
  </si>
  <si>
    <t>부자재</t>
  </si>
  <si>
    <t>소프트렌즈(B)</t>
  </si>
  <si>
    <t>BS0002</t>
  </si>
  <si>
    <t>블리스터케이스(중사각-SJ)</t>
  </si>
  <si>
    <t>BS0003</t>
  </si>
  <si>
    <t>블리스터케이스(원형-SJ)</t>
  </si>
  <si>
    <t>BS0004</t>
  </si>
  <si>
    <t>SJ-170 BS0004-001</t>
  </si>
  <si>
    <t>블리스터케이스(원데이_SJ)</t>
  </si>
  <si>
    <t>BS0005</t>
  </si>
  <si>
    <t>BS0005-002</t>
  </si>
  <si>
    <t>알루미늄리드지 (Monthly_무지)</t>
  </si>
  <si>
    <t>BS0006</t>
  </si>
  <si>
    <t>BS0006-001</t>
  </si>
  <si>
    <t>알루미늄리드지 (1-Day Soft)구형_무광 코팅</t>
  </si>
  <si>
    <t>BS0007</t>
  </si>
  <si>
    <t>BS0007-001</t>
  </si>
  <si>
    <t>알루미늄리드지 (원데이-데일리)_유광 코팅</t>
  </si>
  <si>
    <t>BS0008</t>
  </si>
  <si>
    <t>IRIS JAZZ BLACK</t>
  </si>
  <si>
    <t>원데이써클리드지(IRIS_JB)</t>
  </si>
  <si>
    <t>BS0009</t>
  </si>
  <si>
    <t>원데이써클리드지(IRIS_SB)</t>
  </si>
  <si>
    <t>BS0010</t>
  </si>
  <si>
    <t>BS0010-001</t>
  </si>
  <si>
    <t>알루미늄리드지(원데이_아이리스)구형</t>
  </si>
  <si>
    <t>BS0011</t>
  </si>
  <si>
    <t>BS0011-001</t>
  </si>
  <si>
    <t>알루미늄리드지 (원데이-스플레쉬)_유광 코팅</t>
  </si>
  <si>
    <t>BS0012</t>
  </si>
  <si>
    <t>BS0012-001</t>
  </si>
  <si>
    <t>알루미늄리드지(LuxeBrown)</t>
  </si>
  <si>
    <t>BS0013</t>
  </si>
  <si>
    <t>BS0013-001</t>
  </si>
  <si>
    <t>알루미늄리드지(SheerBlack)</t>
  </si>
  <si>
    <t>BS0014</t>
  </si>
  <si>
    <t>BS0014-001</t>
  </si>
  <si>
    <t>알루미늄리드지(Sheerbrown)</t>
  </si>
  <si>
    <t>BS0015</t>
  </si>
  <si>
    <t>4CC</t>
  </si>
  <si>
    <t>스크류바이알(4cc)</t>
  </si>
  <si>
    <t>BS0016</t>
  </si>
  <si>
    <t>5CC</t>
  </si>
  <si>
    <t>캡바이알(5cc)</t>
  </si>
  <si>
    <t>BS0017</t>
  </si>
  <si>
    <t>스크류캡(4cc)</t>
  </si>
  <si>
    <t>BS0018</t>
  </si>
  <si>
    <t>BS0018-002</t>
  </si>
  <si>
    <t>알루미늄캡(금캡)</t>
  </si>
  <si>
    <t>BS0019</t>
  </si>
  <si>
    <t>BS0019-001</t>
  </si>
  <si>
    <t>알루미늄캡(은캡)</t>
  </si>
  <si>
    <t>BS0020</t>
  </si>
  <si>
    <t>BS0020-001</t>
  </si>
  <si>
    <t>알루미늄캡(연두)</t>
  </si>
  <si>
    <t>BS0021</t>
  </si>
  <si>
    <t>고무전(4cc민자)</t>
  </si>
  <si>
    <t>BS0022</t>
  </si>
  <si>
    <t>고무전(5cc)</t>
  </si>
  <si>
    <t>BS0023</t>
  </si>
  <si>
    <t>BS0023-001</t>
  </si>
  <si>
    <t>알루미늄리드지(1-Day Facil)</t>
  </si>
  <si>
    <t>BS0024</t>
  </si>
  <si>
    <t>RC5056</t>
  </si>
  <si>
    <t>블리스터케이스(소사각-RC)</t>
  </si>
  <si>
    <t>BS0025</t>
  </si>
  <si>
    <t>블리스터케이스(소사각 2)</t>
  </si>
  <si>
    <t>BS0026</t>
  </si>
  <si>
    <t>블리스터케이스(중사각-RC)</t>
  </si>
  <si>
    <t>BS0027</t>
  </si>
  <si>
    <t>블리스터케이스(원형-RC)</t>
  </si>
  <si>
    <t>BS0028</t>
  </si>
  <si>
    <t>드라이케이스</t>
  </si>
  <si>
    <t>소모품</t>
  </si>
  <si>
    <t>공통</t>
  </si>
  <si>
    <t>BS0029</t>
  </si>
  <si>
    <t>5구 팔레트(타원형)_SJ-170(화이트)</t>
  </si>
  <si>
    <t>타공소독케이스 (신형)</t>
  </si>
  <si>
    <t>BS0030</t>
  </si>
  <si>
    <t>BS0030-001</t>
  </si>
  <si>
    <t>렌즈케이스(본체: 흰색/L: 파랑, R: 흰색)</t>
  </si>
  <si>
    <t>BS0031</t>
  </si>
  <si>
    <t>BS0031-004</t>
  </si>
  <si>
    <t>알루미늄리드지 (원데이-MPG&amp;E)_유광 코팅</t>
  </si>
  <si>
    <t>BS0032</t>
  </si>
  <si>
    <t>BS0032-001</t>
  </si>
  <si>
    <t>알루미늄리드지 (무지-백색)</t>
  </si>
  <si>
    <t>BS0033</t>
  </si>
  <si>
    <t>BS0033-001</t>
  </si>
  <si>
    <t>알루미늄리드지(1-Day LARME)</t>
  </si>
  <si>
    <t>BS0034</t>
  </si>
  <si>
    <t>BS0034-001</t>
  </si>
  <si>
    <t>알루미늄리드지 (원데이-스플레쉬) 구 디자인_유광 코팅</t>
  </si>
  <si>
    <t>BS0035</t>
  </si>
  <si>
    <t/>
  </si>
  <si>
    <t>중국 Hydron tray</t>
  </si>
  <si>
    <t>BS0036</t>
  </si>
  <si>
    <t>BS0036-001</t>
  </si>
  <si>
    <t>알루미늄리드지 (PIA 1Day)_유광 코팅</t>
  </si>
  <si>
    <t>BS0037</t>
  </si>
  <si>
    <t>BS0037-001</t>
  </si>
  <si>
    <t>알루미늄리드지 (아이리스 2weeks)_유광 코팅</t>
  </si>
  <si>
    <t>BS0038</t>
  </si>
  <si>
    <t>BS0038-003</t>
  </si>
  <si>
    <t>알루미늄리드지 (Clalen 55S)_유광 코팅</t>
  </si>
  <si>
    <t>BS0039</t>
  </si>
  <si>
    <t>BS0039-002</t>
  </si>
  <si>
    <t>알루미늄리드지 (신시아 2week UV)_유광 코팅</t>
  </si>
  <si>
    <t>BS0040</t>
  </si>
  <si>
    <t>BS0040-001</t>
  </si>
  <si>
    <t>알루미늄리드지(아시아네트웍스-FlowerEyes)</t>
  </si>
  <si>
    <t>BS0041</t>
  </si>
  <si>
    <t>BS0041-001</t>
  </si>
  <si>
    <t>알루미늄리드지(아시아네트웍스-돈키PB)</t>
  </si>
  <si>
    <t>BS0042</t>
  </si>
  <si>
    <t>블리스터케이스(신시아_SJ)</t>
  </si>
  <si>
    <t>BS0043</t>
  </si>
  <si>
    <t>BS0043-001</t>
  </si>
  <si>
    <t>알루미늄리드지(Asia-리치베이비)</t>
  </si>
  <si>
    <t>BS0044</t>
  </si>
  <si>
    <t>BS0044-001</t>
  </si>
  <si>
    <t>알루미늄리드지(Asia-EyeGrace)</t>
  </si>
  <si>
    <t>BS0045</t>
  </si>
  <si>
    <t>BS0045-001</t>
  </si>
  <si>
    <t>알루미늄리드지(Asia-주얼리하트)</t>
  </si>
  <si>
    <t>BS0046</t>
  </si>
  <si>
    <t>BS0046-001</t>
  </si>
  <si>
    <t>알루미늄리드지 (무지-백색w210)</t>
  </si>
  <si>
    <t>BS0047</t>
  </si>
  <si>
    <t>블리스터케이스(중사각-샌딩_SJ)</t>
  </si>
  <si>
    <t>BS0048</t>
  </si>
  <si>
    <t>BS0048-001</t>
  </si>
  <si>
    <t>알루미늄리드지 (Metha Daily)_유광 코팅</t>
  </si>
  <si>
    <t>BS0049</t>
  </si>
  <si>
    <t>BS0049-002</t>
  </si>
  <si>
    <t>알루미늄리드지 (신시아_원데이UV모이스쳐)_무광 코팅</t>
  </si>
  <si>
    <t>BS0050</t>
  </si>
  <si>
    <t>BS0050-002</t>
  </si>
  <si>
    <t>알루미늄리드지 (Iris_수지그레이)_무광 코팅</t>
  </si>
  <si>
    <t>BS0051</t>
  </si>
  <si>
    <t>BS0051-002</t>
  </si>
  <si>
    <t>알루미늄리드지 (스타비전_넬리브라운)_유광 코팅</t>
  </si>
  <si>
    <t>BS0052</t>
  </si>
  <si>
    <t>BS0052-002</t>
  </si>
  <si>
    <t>알루미늄리드지 (Iris-Toric)_무광 코팅</t>
  </si>
  <si>
    <t>BS0053</t>
  </si>
  <si>
    <t>BS0053-002</t>
  </si>
  <si>
    <t>알루미늄리드지 (국내/중국 1-Day Soft)_무광 코팅</t>
  </si>
  <si>
    <t>BS0054</t>
  </si>
  <si>
    <t>BS0054-003</t>
  </si>
  <si>
    <t>알루미늄리드지 (국내/중국 원데이_아이리스)_무광 코팅</t>
  </si>
  <si>
    <t>BS0055</t>
  </si>
  <si>
    <t>BS0055-002</t>
  </si>
  <si>
    <t>알루미늄리드지 (스타비전_아이스그레이)_유광 코팅</t>
  </si>
  <si>
    <t>BS0056</t>
  </si>
  <si>
    <t>알리샤브라운 공용리드지</t>
  </si>
  <si>
    <t>BS0057</t>
  </si>
  <si>
    <t>BS0057-002</t>
  </si>
  <si>
    <t>알루미늄리드지 (Iris-알리샤브라운)_무광 코팅</t>
  </si>
  <si>
    <t>BS0058</t>
  </si>
  <si>
    <t>BS0058-001</t>
  </si>
  <si>
    <t>알루미늄리드지 (프랑스 Ophtalmic 1-day 블랙)_무광 코팅</t>
  </si>
  <si>
    <t>BS0059</t>
  </si>
  <si>
    <t>BS0059-001</t>
  </si>
  <si>
    <t>알루미늄리드지 (Bella_1Day_컬러 리드지)_유광 코팅</t>
  </si>
  <si>
    <t>BS0060</t>
  </si>
  <si>
    <t>BS0060-001</t>
  </si>
  <si>
    <t>알루미늄리드지 (From-eyes - anecon)_무광 코팅</t>
  </si>
  <si>
    <t>BS0061</t>
  </si>
  <si>
    <t>BS0061-001</t>
  </si>
  <si>
    <t>알루미늄리드지 (From-eyes - motecon)_무광 코팅</t>
  </si>
  <si>
    <t>BS0062</t>
  </si>
  <si>
    <t>BS0062-002</t>
  </si>
  <si>
    <t>알루미늄리드지 (일본 sincere Natural 1day Moisture)_유광 코팅</t>
  </si>
  <si>
    <t>BS0063</t>
  </si>
  <si>
    <t>BS0063-001</t>
  </si>
  <si>
    <t>알루미늄리드지 (일본 sincere Naturali 1day clear UV moisture)_무광 코팅</t>
  </si>
  <si>
    <t>BS0064</t>
  </si>
  <si>
    <t>BS0064-002</t>
  </si>
  <si>
    <t>알루미늄리드지 (국내/중국 클라렌 아이리스 2)_무광 코팅</t>
  </si>
  <si>
    <t>BS0065</t>
  </si>
  <si>
    <t>BS0065-001</t>
  </si>
  <si>
    <t>알루미늄리드지 (미국 PDI 원데이)_유광 코팅</t>
  </si>
  <si>
    <t>BS0066</t>
  </si>
  <si>
    <t>BS0066-002</t>
  </si>
  <si>
    <t>알루미늄리드지 (이태리 Soleko – Queen’s one 원데이 컬러)_유광 코팅</t>
  </si>
  <si>
    <t>BS0067</t>
  </si>
  <si>
    <t>BS0067-001</t>
  </si>
  <si>
    <t>알루미늄리드지 (일본 From eyes Honeydrops)</t>
  </si>
  <si>
    <t>BS0068</t>
  </si>
  <si>
    <t>BS0068-001</t>
  </si>
  <si>
    <t>알루미늄리드지 (일본 From eyes Eyecloset)_무광 코팅</t>
  </si>
  <si>
    <t>BS0069</t>
  </si>
  <si>
    <t>BS0069-001</t>
  </si>
  <si>
    <t>알루미늄리드지 (중국 Clalen 38S)_유광 코팅</t>
  </si>
  <si>
    <t>BS0070</t>
  </si>
  <si>
    <t>BS0070-001</t>
  </si>
  <si>
    <t>알루미늄리드지 (일본 From eyes 55% clear 1day)_무광 코팅</t>
  </si>
  <si>
    <t>BS0071</t>
  </si>
  <si>
    <t>BS0071-001</t>
  </si>
  <si>
    <t>렌즈케이스(본체: 흰색/L: 하늘, R: 분홍)</t>
  </si>
  <si>
    <t>포장재</t>
  </si>
  <si>
    <t>BS0072</t>
  </si>
  <si>
    <t>BS0072-002</t>
  </si>
  <si>
    <t>알루미늄리드지 (캐나다 PIA 1-DAY)_유광 코팅</t>
  </si>
  <si>
    <t>BS0073</t>
  </si>
  <si>
    <t>BS0073-002</t>
  </si>
  <si>
    <t>알루미늄리드지 (일본 PIA 1day 55%)_유광 코팅</t>
  </si>
  <si>
    <t>BS0074</t>
  </si>
  <si>
    <t>BS0074-001</t>
  </si>
  <si>
    <t>알루미늄리드지 (해외공용 1-day 리드지)_유광 코팅</t>
  </si>
  <si>
    <t>BS0075</t>
  </si>
  <si>
    <t>BS0075-001</t>
  </si>
  <si>
    <t>알루미늄리드지 (일본 HOYA_Casual Ash 55%)_유광 코팅</t>
  </si>
  <si>
    <t>BS0076</t>
  </si>
  <si>
    <t>BS0076-001</t>
  </si>
  <si>
    <t>알루미늄리드지 (일본 HOYA_Aurora Gray 55%)_유광 코팅</t>
  </si>
  <si>
    <t>BS0077</t>
  </si>
  <si>
    <t>BS0077-001</t>
  </si>
  <si>
    <t>알루미늄리드지 (일본 HOYA_Noble Ash 55%)_유광 코팅</t>
  </si>
  <si>
    <t>BS0078</t>
  </si>
  <si>
    <t>BS0078-001</t>
  </si>
  <si>
    <t>알루미늄리드지 (일본 HOYA_Maquia Brown 55%)_유광 코팅</t>
  </si>
  <si>
    <t>BS0079</t>
  </si>
  <si>
    <t>BS0079-001</t>
  </si>
  <si>
    <t>알루미늄리드지 (일본 From eyes Moisture 55%)_무광 코팅</t>
  </si>
  <si>
    <t>BS0080</t>
  </si>
  <si>
    <t>BS0080-001</t>
  </si>
  <si>
    <t>알루미늄리드지 (중국 아이키니 1-Day 리드지)_유광 코팅</t>
  </si>
  <si>
    <t>BS0081</t>
  </si>
  <si>
    <t>BS0081-001</t>
  </si>
  <si>
    <t>알루미늄리드지 (국내 아이키니 1-Day 리드지)_유광 코팅</t>
  </si>
  <si>
    <t>BS0082</t>
  </si>
  <si>
    <t>BS0082-001</t>
  </si>
  <si>
    <t>알루미늄리드지 (PIA 55% 1Day Clear UV)_유광 코팅</t>
  </si>
  <si>
    <t>BS0083</t>
  </si>
  <si>
    <t>BS0083-002</t>
  </si>
  <si>
    <t>알루미늄리드지 (체코 Alensa US 원데이 리드지)_유광 코팅</t>
  </si>
  <si>
    <t>BS0084</t>
  </si>
  <si>
    <t>BS0084-001</t>
  </si>
  <si>
    <t>알루미늄리드지 (렌즈타운 Lighly 1Day_Brown)_유광 코팅</t>
  </si>
  <si>
    <t>BS0085</t>
  </si>
  <si>
    <t>BS0085-001</t>
  </si>
  <si>
    <t>알루미늄리드지 (렌즈타운 Lighly 1Day_Gray)_유광 코팅</t>
  </si>
  <si>
    <t>BS0086</t>
  </si>
  <si>
    <t>BS0086-001</t>
  </si>
  <si>
    <t>알루미늄리드지 (Iris_수지브라운)_무광 코팅</t>
  </si>
  <si>
    <t>BS0087</t>
  </si>
  <si>
    <t>BS0087-001</t>
  </si>
  <si>
    <t>알루미늄리드지 (신시아 모이스트 L-con 1day 브리스터_CE허가용)</t>
  </si>
  <si>
    <t>BS0088</t>
  </si>
  <si>
    <t>BS0088-001</t>
  </si>
  <si>
    <t>태국 Diamond Eyes 1Day 컬러 리드지</t>
  </si>
  <si>
    <t>BS0089</t>
  </si>
  <si>
    <t>BS0089-001</t>
  </si>
  <si>
    <t>알루미늄리드지 (일본 HOYA_LaFORTE 55%)_유광 코팅</t>
  </si>
  <si>
    <t>BS0090</t>
  </si>
  <si>
    <t>BS0090-001</t>
  </si>
  <si>
    <t>알루미늄리드지 (렌즈미 Realsome_Brown)_유광 코팅</t>
  </si>
  <si>
    <t>BS0091</t>
  </si>
  <si>
    <t>BS0091-001</t>
  </si>
  <si>
    <t>알루미늄리드지 (렌즈미 Realsome_Choco)_유광 코팅</t>
  </si>
  <si>
    <t>BS0092</t>
  </si>
  <si>
    <t>BS0092-001</t>
  </si>
  <si>
    <t>알루미늄리드지 (태국 Diamond Eyes 1-Day 컬러 리드지)_유광 코팅</t>
  </si>
  <si>
    <t>BS0093</t>
  </si>
  <si>
    <t>BS0093-001</t>
  </si>
  <si>
    <t>알루미늄리드지 (레바논 SAAD 원데이 컬러 TAMO 리드지)_유광 코팅</t>
  </si>
  <si>
    <t>BS0094</t>
  </si>
  <si>
    <t>BS0094-001</t>
  </si>
  <si>
    <t>알루미늄리드지 (일본 From eyes Eyecloset) 국/디 (무광)_무광 코팅</t>
  </si>
  <si>
    <t>BS0095</t>
  </si>
  <si>
    <t>BS0095-003</t>
  </si>
  <si>
    <t>알루미늄리드지 (러시아 Optic Center 1-Day GO 리드지)</t>
  </si>
  <si>
    <t>BS0096</t>
  </si>
  <si>
    <t>BS0096-001</t>
  </si>
  <si>
    <t>알루미늄리드지 (러시아 Optic Center 1-Day MIX 리드지)</t>
  </si>
  <si>
    <t>BS0097</t>
  </si>
  <si>
    <t>BS0097-001</t>
  </si>
  <si>
    <t>알루미늄리드지 (러시아 Optic Center 1-Day WOW 리드지)</t>
  </si>
  <si>
    <t>BS0098</t>
  </si>
  <si>
    <t>BS0098-002</t>
  </si>
  <si>
    <t>알루미늄리드지 (러시아 Optic Center ADRIA ZERO 리드지)</t>
  </si>
  <si>
    <t>BS0099</t>
  </si>
  <si>
    <t>BS0099-004</t>
  </si>
  <si>
    <t>알루미늄리드지 (싱가폴 Blincon OWNDAYS 1-day 리드지)_무광 코팅</t>
  </si>
  <si>
    <t>BS0100</t>
  </si>
  <si>
    <t>BS0100-001</t>
  </si>
  <si>
    <t>알루미늄리드지 (렌즈타운 Lighly Rose 1Day Beige)_유광 코팅</t>
  </si>
  <si>
    <t>BS0101</t>
  </si>
  <si>
    <t>BS0101-001</t>
  </si>
  <si>
    <t>알루미늄리드지 (렌즈타운 Lighly Rose 1Day Gray)_유광 코팅</t>
  </si>
  <si>
    <t>BS0102</t>
  </si>
  <si>
    <t>BS0102-001</t>
  </si>
  <si>
    <t>알루미늄리드지 (렌즈타운 Lighly Rose 1Day Rose)_유광 코팅</t>
  </si>
  <si>
    <t>BS0103</t>
  </si>
  <si>
    <t>BS0103-002</t>
  </si>
  <si>
    <t>알루미늄리드지 (이태리 soleko US 58% 1day)_유광 코팅</t>
  </si>
  <si>
    <t>BS0104</t>
  </si>
  <si>
    <t>BS0104-003</t>
  </si>
  <si>
    <t>알루미늄리드지 (중국 ALCON_Freshlook Chocolate)_유광 코팅</t>
  </si>
  <si>
    <t>BS0105</t>
  </si>
  <si>
    <t>BS0105-003</t>
  </si>
  <si>
    <t>알루미늄리드지 (중국 ALCON_Freshlook Dreamy)_유광 코팅</t>
  </si>
  <si>
    <t>BS0106</t>
  </si>
  <si>
    <t>BS0106-001</t>
  </si>
  <si>
    <t>렌즈케이스(본체: 흰색/L: 청색, R: 청색)</t>
  </si>
  <si>
    <t>BS0107</t>
  </si>
  <si>
    <t>BS0107-002</t>
  </si>
  <si>
    <t>알루미늄리드지 (Clalen Astra_글리터)_유광 코팅</t>
  </si>
  <si>
    <t>BS0108</t>
  </si>
  <si>
    <t>BS0108-002</t>
  </si>
  <si>
    <t>알루미늄리드지 (Clalen Astra Estelle_브라운)_유광 코팅</t>
  </si>
  <si>
    <t>BS0109</t>
  </si>
  <si>
    <t>BS0109-002</t>
  </si>
  <si>
    <t>알루미늄리드지 (Clalen Astra Estelle_그레이)_유광 코팅</t>
  </si>
  <si>
    <t>BS0110</t>
  </si>
  <si>
    <t>BS0110-002</t>
  </si>
  <si>
    <t>알루미늄리드지 (캐나다 PIA 1Day 55% 컬러)_유광 코팅</t>
  </si>
  <si>
    <t>BS0111</t>
  </si>
  <si>
    <t>BS0111-001</t>
  </si>
  <si>
    <t>알루미늄리드지 (렌즈미 Realfit 3Color_Brown)_유광 코팅</t>
  </si>
  <si>
    <t>BS0112</t>
  </si>
  <si>
    <t>BS0112-001</t>
  </si>
  <si>
    <t>알루미늄리드지 (렌즈미 Realfit 3Color_Gray)_유광 코팅</t>
  </si>
  <si>
    <t>BS0113</t>
  </si>
  <si>
    <t>BS0113-001</t>
  </si>
  <si>
    <t>알루미늄리드지 (일본 sincere ITOB 원데이 리드지)_무광 코팅</t>
  </si>
  <si>
    <t>BS0114</t>
  </si>
  <si>
    <t>BS0114-001</t>
  </si>
  <si>
    <t>알루미늄리드지 (무지-백색_PET12/AL30/CPP100_White 표면인쇄)</t>
  </si>
  <si>
    <t>BS0115</t>
  </si>
  <si>
    <t>BS0115-001</t>
  </si>
  <si>
    <t>알루미늄리드지 (무지-백색_PET12/AL30/CPP100_White 리버스인쇄)</t>
  </si>
  <si>
    <t>BS0116</t>
  </si>
  <si>
    <t>BS0116-001</t>
  </si>
  <si>
    <t>알루미늄리드지 (Clalen 1Day Freedom380)_무광 코팅</t>
  </si>
  <si>
    <t>BS0117</t>
  </si>
  <si>
    <t>BS0117-002</t>
  </si>
  <si>
    <t>알루미늄리드지 (Celena_영문_컬러 원데이)_유광 코팅</t>
  </si>
  <si>
    <t>BS0118</t>
  </si>
  <si>
    <t>BS0118-001</t>
  </si>
  <si>
    <t>알루미늄리드지 (렌즈타운 Lighly Rose 1Day Khaki)_유광 코팅</t>
  </si>
  <si>
    <t>BS0119</t>
  </si>
  <si>
    <t>BS0119-001</t>
  </si>
  <si>
    <t>알루미늄리드지 (렌즈타운 Lighly Rose 1Day Berry)_유광 코팅</t>
  </si>
  <si>
    <t>BS0120</t>
  </si>
  <si>
    <t>BS0120-001</t>
  </si>
  <si>
    <t>알루미늄리드지 (렌즈타운 Lighly Rose 1Day Cacao)_유광 코팅</t>
  </si>
  <si>
    <t>BS0121</t>
  </si>
  <si>
    <t>BS0121-002</t>
  </si>
  <si>
    <t>알루미늄리드지 (일본 sincere FAP 1D 38% UV)_유광 코팅</t>
  </si>
  <si>
    <t>BS0122</t>
  </si>
  <si>
    <t>BS0122-001</t>
  </si>
  <si>
    <t>알루미늄리드지 (일본 PIA 캐나다 TOPARDS 1-Day 리드지)_유광 코팅</t>
  </si>
  <si>
    <t>BS0123</t>
  </si>
  <si>
    <t>BS0123-001</t>
  </si>
  <si>
    <t>알루미늄리드지 (무지-백색_PET12/AL50/CPP50_White 표면인쇄)</t>
  </si>
  <si>
    <t>BS0124</t>
  </si>
  <si>
    <t>BS0124-001</t>
  </si>
  <si>
    <t>알루미늄리드지 (무지-실버_PET12/AL30/CPP100_알콘 用)</t>
  </si>
  <si>
    <t>BS0125</t>
  </si>
  <si>
    <t>BS0125-001</t>
  </si>
  <si>
    <t>알루미늄리드지 (일본 sincere MBP 1-Day 리드지)_유광 코팅</t>
  </si>
  <si>
    <t>BS0126</t>
  </si>
  <si>
    <t>BS0126-002</t>
  </si>
  <si>
    <t>알루미늄리드지 (일본 From eyes Eyecloset UV)_무광 코팅</t>
  </si>
  <si>
    <t>BS0127</t>
  </si>
  <si>
    <t>BS0127-002</t>
  </si>
  <si>
    <t>알루미늄리드지 (UAE_eyewa_Layala_원데이 리드지)_유광 코팅</t>
  </si>
  <si>
    <t>BS0128</t>
  </si>
  <si>
    <t>BS0128-001</t>
  </si>
  <si>
    <t>알루미늄리드지 (중국 4inlook 1-Day 리드지)_유광 코팅</t>
  </si>
  <si>
    <t>BS0129</t>
  </si>
  <si>
    <t>BS0129-001</t>
  </si>
  <si>
    <t>알루미늄리드지 (중국향 Clalen RINA 1-Day 리드지)_유광 코팅</t>
  </si>
  <si>
    <t>BS0130</t>
  </si>
  <si>
    <t>RP5007K</t>
  </si>
  <si>
    <t>블리스터케이스(원형-RP)</t>
  </si>
  <si>
    <t>BS0131</t>
  </si>
  <si>
    <t>블리스터케이스(중사각-샌딩_RP)</t>
  </si>
  <si>
    <t>BS0132</t>
  </si>
  <si>
    <t>BS0132-001</t>
  </si>
  <si>
    <t>알루미늄리드지 (Iris Toric 헤일로 브라운)_유광 코팅</t>
  </si>
  <si>
    <t>BS0133</t>
  </si>
  <si>
    <t>BS0133-001</t>
  </si>
  <si>
    <t>알루미늄리드지 (Iris Toric 헤일로 그레이)_유광 코팅</t>
  </si>
  <si>
    <t>BS0134</t>
  </si>
  <si>
    <t>BS0134-001</t>
  </si>
  <si>
    <t>알루미늄리드지 (체코 Alensa 블루라이트 원데이 리드지)_유광 코팅</t>
  </si>
  <si>
    <t>BS0135</t>
  </si>
  <si>
    <t>블리스터케이스(중사각-RP)</t>
  </si>
  <si>
    <t>BS0136</t>
  </si>
  <si>
    <t>블리스터케이스(소사각-RP)</t>
  </si>
  <si>
    <t>BS0137</t>
  </si>
  <si>
    <t>블리스터케이스(소사각 2_RP)</t>
  </si>
  <si>
    <t>BS0138</t>
  </si>
  <si>
    <t>BS0138-001</t>
  </si>
  <si>
    <t>알루미늄리드지 (해외공용 영문 ADRIA 원데이 리드지)_무광 코팅</t>
  </si>
  <si>
    <t>BS0139</t>
  </si>
  <si>
    <t>BS0139-001</t>
  </si>
  <si>
    <t>알루미늄리드지 (Celena_아랍_컬러 원데이)_유광 코팅</t>
  </si>
  <si>
    <t>BS0140</t>
  </si>
  <si>
    <t>BS0140-001</t>
  </si>
  <si>
    <t>렌즈케이스(본체: 투명/L: 투명, R: 투명)_ (L1 18 )</t>
  </si>
  <si>
    <t>BS0141</t>
  </si>
  <si>
    <t>BS0141-002</t>
  </si>
  <si>
    <t>알루미늄리드지 (중국 EYE QUE 1day 55% Color)_무광 코팅</t>
  </si>
  <si>
    <t>BS0142</t>
  </si>
  <si>
    <t>BS0142-001</t>
  </si>
  <si>
    <t>알루미늄리드지 (중국 POPMAGIC 1-Day 리드지)_유광 코팅</t>
  </si>
  <si>
    <t>BS0143</t>
  </si>
  <si>
    <t>블리스터케이스(원데이_RP)</t>
  </si>
  <si>
    <t>BS0144</t>
  </si>
  <si>
    <t>블리스터케이스(신시아_RP)</t>
  </si>
  <si>
    <t>BS0145</t>
  </si>
  <si>
    <t>BS0145-001</t>
  </si>
  <si>
    <t>알루미늄리드지 (일본 PIA 1day 38% mimuco)_유광 코팅</t>
  </si>
  <si>
    <t>BS0146</t>
  </si>
  <si>
    <t>BS0146-002</t>
  </si>
  <si>
    <t>알루미늄리드지 (독일 4care – Blue light daily metha)_무광 코팅</t>
  </si>
  <si>
    <t>BS0147</t>
  </si>
  <si>
    <t>BS0147-001</t>
  </si>
  <si>
    <t>알루미늄리드지 (New 일본 sincereNaturali 1day clear)_유광 코팅</t>
  </si>
  <si>
    <t>BS0148</t>
  </si>
  <si>
    <t>집게(흰색) / 실리콘 (투명)</t>
  </si>
  <si>
    <t>렌즈 집게 (집게부 실리콘)</t>
  </si>
  <si>
    <t>BS0149</t>
  </si>
  <si>
    <t>BS0149-001</t>
  </si>
  <si>
    <t>알루미늄리드지 (Clalen O2O2 Color 1Day)_무광 코팅</t>
  </si>
  <si>
    <t>BS0150</t>
  </si>
  <si>
    <t>BS0150-001</t>
  </si>
  <si>
    <t>알루미늄리드지 (일본 ANW Dopewink 1D 리드지)_유광 코팅</t>
  </si>
  <si>
    <t>BS0151</t>
  </si>
  <si>
    <t>BS0151-001</t>
  </si>
  <si>
    <t>알루미늄리드지 (사우디 Rose Holding_Daya)_무광 코팅</t>
  </si>
  <si>
    <t>BS0152</t>
  </si>
  <si>
    <t>JC-160_롯데케미칼</t>
  </si>
  <si>
    <t>PP수지</t>
  </si>
  <si>
    <t>BS0153</t>
  </si>
  <si>
    <t>HP640RK_폴리미래</t>
  </si>
  <si>
    <t>BS0154</t>
  </si>
  <si>
    <t>BS0154-001</t>
  </si>
  <si>
    <t>알루미늄리드지 (공용 Alcon Freshlook)_유광 코팅</t>
  </si>
  <si>
    <t>BS0155</t>
  </si>
  <si>
    <t>BS0155-001</t>
  </si>
  <si>
    <t>알루미늄리드지 (공용 Alcon Freshlook CC Lens)_유광 코팅</t>
  </si>
  <si>
    <t>BS0156</t>
  </si>
  <si>
    <t>BS0156-002</t>
  </si>
  <si>
    <t>알루미늄리드지 (공용 하파크리스틴_Secretive Kristin)_유광 코팅</t>
  </si>
  <si>
    <t>BS0157</t>
  </si>
  <si>
    <t>BS0157-001</t>
  </si>
  <si>
    <t>알루미늄리드지 (한국 Alcon Freshlook)</t>
  </si>
  <si>
    <t>BS0158</t>
  </si>
  <si>
    <t>BS0158-001</t>
  </si>
  <si>
    <t>알루미늄리드지 (한국 Alcon Freshlook CC Lens)</t>
  </si>
  <si>
    <t>BS0159</t>
  </si>
  <si>
    <t>BS0159-002</t>
  </si>
  <si>
    <t>알루미늄리드지 (Bioxifilcon A Daily 공용 리드지)_무광 코팅</t>
  </si>
  <si>
    <t>BS0160</t>
  </si>
  <si>
    <t>BS0160-001</t>
  </si>
  <si>
    <t>알루미늄리드지 (Clalen Adria 1Day)_무광 코팅</t>
  </si>
  <si>
    <t>BS0161</t>
  </si>
  <si>
    <t>BS0161-001</t>
  </si>
  <si>
    <t>알루미늄리드지 (Clalen Adria Daily)_무광 코팅</t>
  </si>
  <si>
    <t>BS0162</t>
  </si>
  <si>
    <t>BS0162-001</t>
  </si>
  <si>
    <t>알루미늄리드지 (국내 OPTACON ZOOM 1-Day)_무광 코팅</t>
  </si>
  <si>
    <t>BS0163</t>
  </si>
  <si>
    <t>BS0163-001</t>
  </si>
  <si>
    <t>알루미늄리드지 (일본 Sincere Namida 1Day 30P)_유광 코팅</t>
  </si>
  <si>
    <t>BS0164</t>
  </si>
  <si>
    <t>BS0164-001</t>
  </si>
  <si>
    <t>알루미늄리드지 (일본 Sincere Namida 2Week 6P)_유광 코팅</t>
  </si>
  <si>
    <t>BS0165</t>
  </si>
  <si>
    <t>5구 파레트(타원형)_PP-TD20%(베이지)</t>
  </si>
  <si>
    <t>BS0166</t>
  </si>
  <si>
    <t>BS0166-003</t>
  </si>
  <si>
    <t>알루미늄리드지 (일본 하파크리스틴)_유광 코팅</t>
  </si>
  <si>
    <t>BS0167</t>
  </si>
  <si>
    <t>BS0167-001</t>
  </si>
  <si>
    <t>알루미늄리드지 (일본 Hapa Kristin)</t>
  </si>
  <si>
    <t>BS0168</t>
  </si>
  <si>
    <t>150*300*10T</t>
  </si>
  <si>
    <t>세라믹 부식판 (지르코니아 99.5%)</t>
  </si>
  <si>
    <t>BS0169</t>
  </si>
  <si>
    <t>BS0169-001</t>
  </si>
  <si>
    <t>알루미늄리드지 (일본 from-eyes 1D 38% UV 리드지)_무광 코팅</t>
  </si>
  <si>
    <t>BS0170</t>
  </si>
  <si>
    <t>BS0170-001</t>
  </si>
  <si>
    <t>알루미늄리드지 (러시아 Bi-focal_8.40_1-day 리드지)_무광 코팅</t>
  </si>
  <si>
    <t>BS0171</t>
  </si>
  <si>
    <t>BS0171-001</t>
  </si>
  <si>
    <t>알루미늄리드지 (미국 EDC SiHy liriofilcon 1day 리드지)_무광 코팅</t>
  </si>
  <si>
    <t>BS0172</t>
  </si>
  <si>
    <t>BS0172-001</t>
  </si>
  <si>
    <t>알루미늄리드지 (일본 sincere 2week premium UV 6p)_유광 코팅</t>
  </si>
  <si>
    <t>BS0173</t>
  </si>
  <si>
    <t>BS0173-001</t>
  </si>
  <si>
    <t>알루미늄리드지 (일본 sincere ITW 1day UV)_유광 코팅</t>
  </si>
  <si>
    <t>BS0174</t>
  </si>
  <si>
    <t>BS0174-001</t>
  </si>
  <si>
    <t>알루미늄리드지 (하파크리스틴_1Day Clear)_무광 코팅</t>
  </si>
  <si>
    <t>BS0175</t>
  </si>
  <si>
    <t>BS0175-001</t>
  </si>
  <si>
    <t>알루미늄리드지 (일본 from eyes 1day 55% pearl)_무광 코팅</t>
  </si>
  <si>
    <t>BS0176</t>
  </si>
  <si>
    <t>BS0176-001</t>
  </si>
  <si>
    <t>알루미늄리드지 (일본 sincere ITFA 1D 38% UV)_유광 코팅</t>
  </si>
  <si>
    <t>BS0177</t>
  </si>
  <si>
    <t>타공 소독케이스_SJ-170(화이트)</t>
  </si>
  <si>
    <t>타공소독케이스 (구형)</t>
  </si>
  <si>
    <t>BS0178</t>
  </si>
  <si>
    <t>BS0178-001</t>
  </si>
  <si>
    <t>알루미늄리드지 (Clalen O2O2 1Day_Clear)_무광 코팅</t>
  </si>
  <si>
    <t>BS0179</t>
  </si>
  <si>
    <t>BS0179-001</t>
  </si>
  <si>
    <t>알루미늄리드지 (일본 ANW OvE 1day)_무광 코팅</t>
  </si>
  <si>
    <t>BS0180</t>
  </si>
  <si>
    <t>BS0180-001</t>
  </si>
  <si>
    <t>알루미늄리드지 (Daily_무지-백색)</t>
  </si>
  <si>
    <t>BS0181</t>
  </si>
  <si>
    <t>BS0181-001</t>
  </si>
  <si>
    <t>알루미늄리드지 (PIA_1D 55% episode)_유광 코팅</t>
  </si>
  <si>
    <t>BS0182</t>
  </si>
  <si>
    <t>BS0182-001</t>
  </si>
  <si>
    <t>알루미늄리드지 (다비치렌즈 Mersee Choco)_무광 코팅</t>
  </si>
  <si>
    <t>BS0183</t>
  </si>
  <si>
    <t>BS0183-001</t>
  </si>
  <si>
    <t>알루미늄리드지 (다비치렌즈 Mersee Brown)_무광 코팅</t>
  </si>
  <si>
    <t>BS0184</t>
  </si>
  <si>
    <t>BS0184-001</t>
  </si>
  <si>
    <t>알루미늄리드지 (다비치렌즈 Skatch Brown)_무광 코팅</t>
  </si>
  <si>
    <t>BS0185</t>
  </si>
  <si>
    <t>BS0185-001</t>
  </si>
  <si>
    <t>알루미늄리드지 (다비치렌즈 Skatch Gray)_무광 코팅</t>
  </si>
  <si>
    <t>BS0186</t>
  </si>
  <si>
    <t>BS0186-001</t>
  </si>
  <si>
    <t>알루미늄리드지 (일본Sincere NATURALI INC 38% UV)</t>
  </si>
  <si>
    <t>BS0187</t>
  </si>
  <si>
    <t>BS0187-001</t>
  </si>
  <si>
    <t>알루미늄리드지 (중국 법인_JEWEL MOON 1D Color)_유광 코팅</t>
  </si>
  <si>
    <t>BS0188</t>
  </si>
  <si>
    <t>BS0188-001</t>
  </si>
  <si>
    <t>알루미늄리드지 (일본 sincere comfy 1day UV )</t>
  </si>
  <si>
    <t>BS0189</t>
  </si>
  <si>
    <t>BS0189-001</t>
  </si>
  <si>
    <t>알루미늄리드지 (UAE_Rivoli_Sofvue컬러_1day)_무광코팅</t>
  </si>
  <si>
    <t>BS0190</t>
  </si>
  <si>
    <t>BS0190-001</t>
  </si>
  <si>
    <t>알루미늄리드지 (원데이_LEXXOO 공용)_유광 코팅</t>
  </si>
  <si>
    <t>BS0191</t>
  </si>
  <si>
    <t>BS0191-003</t>
  </si>
  <si>
    <t>알루미늄리드지 (하파크리스틴_1Day Color)_유광 코팅</t>
  </si>
  <si>
    <t>BS0192</t>
  </si>
  <si>
    <t>BS0192-001</t>
  </si>
  <si>
    <t>알루미늄리드지 (Clalen O2O2 Color 1Day_Toric)_무광 코팅</t>
  </si>
  <si>
    <t>BS0193</t>
  </si>
  <si>
    <t>BS0193-002</t>
  </si>
  <si>
    <t>알루미늄리드지 (태국 MG Medical Group SISSE ONE DAY MINI JEJE BRONZE)_무광 코팅</t>
  </si>
  <si>
    <t>BS0194</t>
  </si>
  <si>
    <t>BS0194-001</t>
  </si>
  <si>
    <t>알루미늄리드지 (러시아 Optic Center 1-day GO 리드지)</t>
  </si>
  <si>
    <t>BS0195</t>
  </si>
  <si>
    <t>BS0195-001</t>
  </si>
  <si>
    <t>알루미늄리드지 (중국 NAIBOLE 1day 58%)_유광 코팅</t>
  </si>
  <si>
    <t>BS0196</t>
  </si>
  <si>
    <t>BS0196-001</t>
  </si>
  <si>
    <t>알루미늄리드지 (중국 하파크리스틴_1Day Color)_유광 코팅</t>
  </si>
  <si>
    <t>BS0197</t>
  </si>
  <si>
    <t>BS0197-001</t>
  </si>
  <si>
    <t>알루미늄리드지 (PIA_1D 38% PUUUUCHU)_유광 코팅</t>
  </si>
  <si>
    <t>BS0198</t>
  </si>
  <si>
    <t>BS0198-001</t>
  </si>
  <si>
    <t>알루미늄리드지 (PIA_1D 38% Lumie U)_유광 코팅</t>
  </si>
  <si>
    <t>BS0199</t>
  </si>
  <si>
    <t>S관_백색_PP-TD20%</t>
  </si>
  <si>
    <t>타공소독케이스 (실리콘 렌즈)</t>
  </si>
  <si>
    <t>BS0200</t>
  </si>
  <si>
    <t>BS0200-001</t>
  </si>
  <si>
    <t>알루미늄리드지 (말레이시아 Maxvue Vision Airsoft Silicone Hydrogel 1Day Clear 45%)_유광 코팅</t>
  </si>
  <si>
    <t>BS0201</t>
  </si>
  <si>
    <t>BS0201-002</t>
  </si>
  <si>
    <t>알루미늄리드지 (하파크리스틴_1Day Color Toric)_유광 코팅</t>
  </si>
  <si>
    <t>BS0202</t>
  </si>
  <si>
    <t>BS0202-001</t>
  </si>
  <si>
    <t>알루미늄리드지(중국 CoFACNY 1Day Color P시리즈) 유광 코팅</t>
  </si>
  <si>
    <t>BS0203</t>
  </si>
  <si>
    <t>BS0203-001</t>
  </si>
  <si>
    <t>알루미늄리드지 (무지-백색_PET12/AL50/PP50_White 리버스인쇄)</t>
  </si>
  <si>
    <t>BS0204</t>
  </si>
  <si>
    <t>BS0204-002</t>
  </si>
  <si>
    <t>알루미늄리드지 (OSC DYE 원데이 리드지)_유광코팅</t>
  </si>
  <si>
    <t>BS0205</t>
  </si>
  <si>
    <t>BS0205-001</t>
  </si>
  <si>
    <t>알루미늄리드지 (PIA_1D 55% mimuco Toric리드지)_유광코팅</t>
  </si>
  <si>
    <t>BS0206</t>
  </si>
  <si>
    <t>BS0206-001</t>
  </si>
  <si>
    <t>알루미늄리드지(중국 CoFANCY 1Day Color D시리즈) 유광 코팅</t>
  </si>
  <si>
    <t>BS0207</t>
  </si>
  <si>
    <t>BS0207-001</t>
  </si>
  <si>
    <t>알루미늄리드지 (Moody nanodat 탄수화물 6P)_유광 코팅</t>
  </si>
  <si>
    <t>BS0208</t>
  </si>
  <si>
    <t>BS0208-001</t>
  </si>
  <si>
    <t>알루미늄리드지 (스타비젼 O2 Edition)_유광 코팅</t>
  </si>
  <si>
    <t>BS0209</t>
  </si>
  <si>
    <t>BS0209-001</t>
  </si>
  <si>
    <t>알루미늄리드지 (Moody nanodat 탄수화물 20P)_유광 코팅</t>
  </si>
  <si>
    <t>BS0210</t>
  </si>
  <si>
    <t>BS0210-001</t>
  </si>
  <si>
    <t>알루미늄리드지 (Moody nanodat 6M 탄수화물)_유광 중사각</t>
  </si>
  <si>
    <t>BS0211</t>
  </si>
  <si>
    <t>HJ700</t>
  </si>
  <si>
    <t>BS0212</t>
  </si>
  <si>
    <t>BS0212-001</t>
  </si>
  <si>
    <t>알루미늄리드지 (폴란드 FML eyeVista Metha1Day 리드지)_유광 코팅</t>
  </si>
  <si>
    <t>BS0213</t>
  </si>
  <si>
    <t>BS0213-001</t>
  </si>
  <si>
    <t>알루미늄리드지 (한국_젬아워(SiHy 1M)_공용 중사각 리드지)</t>
  </si>
  <si>
    <t>BS0214</t>
  </si>
  <si>
    <t>BS0214-001</t>
  </si>
  <si>
    <t>알루미늄리드지 (Bella 리뉴얼 원데이 리드지(아랍))_유광코팅</t>
  </si>
  <si>
    <t>BS0215</t>
  </si>
  <si>
    <t>BS0215-001</t>
  </si>
  <si>
    <t>알루미늄리드지 (Hioxifilcon A Daily 공용 리드지)_무광 코팅</t>
  </si>
  <si>
    <t>BS0216</t>
  </si>
  <si>
    <t>BS0216-001</t>
  </si>
  <si>
    <t>알루미늄리드지 (미국 HAPA 1M 중사각 인쇄 리드지)_유광코팅</t>
  </si>
  <si>
    <t>BS0217</t>
  </si>
  <si>
    <t>BS0217-001</t>
  </si>
  <si>
    <t>알루미늄리드지 (러시아 Optic Center ADRIA WOW 리드지)_무광코팅</t>
  </si>
  <si>
    <t>BS0218</t>
  </si>
  <si>
    <t>BS0218-001</t>
  </si>
  <si>
    <t>알루미늄리드지 (Bella SiHy 컬러 원데이 리드지(아랍))_유광코팅</t>
  </si>
  <si>
    <t>BS0219</t>
  </si>
  <si>
    <t>BS0219-001</t>
  </si>
  <si>
    <t>알루미늄리드지 (한국_하파크리스틴(1M) 핑크 중사각 인쇄 리드지)_유광코팅</t>
  </si>
  <si>
    <t>BS0220</t>
  </si>
  <si>
    <t>BS0220-001</t>
  </si>
  <si>
    <t>알루미늄리드지 (러시아 Optic Center ADRIA MIX 리드지)_무광코팅</t>
  </si>
  <si>
    <t>BS0221</t>
  </si>
  <si>
    <t>BS0221-001</t>
  </si>
  <si>
    <t>알루미늄리드지 (Bella SiHy 클리어 리드지(아랍))</t>
  </si>
  <si>
    <t>BS0222</t>
  </si>
  <si>
    <t>BS0222-001</t>
  </si>
  <si>
    <t>알루미늄리드지 (Bella SiHy 토릭 클리어 리드지(아랍))</t>
  </si>
  <si>
    <t>BS0223</t>
  </si>
  <si>
    <t>BS0223-001</t>
  </si>
  <si>
    <t>알루미늄리드지 (한국_젬아워(1D) 블랙 리드지)_유광코팅</t>
  </si>
  <si>
    <t>BS0224</t>
  </si>
  <si>
    <t>BS0224-001</t>
  </si>
  <si>
    <t>알루미늄리드지 (중국_Moody(1D) Wicked Games 6P)_유광코팅</t>
  </si>
  <si>
    <t>BS0225</t>
  </si>
  <si>
    <t>BS0225-001</t>
  </si>
  <si>
    <t>알루미늄리드지 (영국 FGC comfi purest SiHy 1Day 리드지)</t>
  </si>
  <si>
    <t>BS0226</t>
  </si>
  <si>
    <t>BS0226-001</t>
  </si>
  <si>
    <t>알루미늄리드지 (이탈리아 Marshal SiHy 1Day 리드지)</t>
  </si>
  <si>
    <t>BS0227</t>
  </si>
  <si>
    <t>BS0227-002</t>
  </si>
  <si>
    <t>알루미늄리드지(윙크컴퍼니 Winc Clear Air Plus 1Day)_유광 코팅</t>
  </si>
  <si>
    <t>BS0228</t>
  </si>
  <si>
    <t>BS0228-001</t>
  </si>
  <si>
    <t>알루미늄리드지 (Clalen O2O2 1Day Toric_Clear)_유광 코팅</t>
  </si>
  <si>
    <t>BS0229</t>
  </si>
  <si>
    <t>BS0229-001</t>
  </si>
  <si>
    <t>알루미늄리드지 (중국_Moody(1D) Wicked Games 2,20P)_유광코팅</t>
  </si>
  <si>
    <t>BS0230</t>
  </si>
  <si>
    <t>BS0230-002</t>
  </si>
  <si>
    <t>알루미늄리드지 일본 ANW Hapa Kristin (이브)_유광 코팅</t>
  </si>
  <si>
    <t>BS0231</t>
  </si>
  <si>
    <t>BS0231-001</t>
  </si>
  <si>
    <t>알루미늄리드지(윙크컴퍼니 Winc Clear 1Day)_유광 코팅</t>
  </si>
  <si>
    <t>BS0232</t>
  </si>
  <si>
    <t>BS0232-001</t>
  </si>
  <si>
    <t>알루미늄리드지 (폴란드 FML eyeVista fulloxy(SiHy) 리드지)_유광 코팅</t>
  </si>
  <si>
    <t>BS0233</t>
  </si>
  <si>
    <t>BS0233-001</t>
  </si>
  <si>
    <t>알루미늄리드지 (한국_미문도(1D) 리드지)_유광코팅</t>
  </si>
  <si>
    <t>BS0234</t>
  </si>
  <si>
    <t>BS0234-001</t>
  </si>
  <si>
    <t>알루미늄리드지(인도 Tirth Marketing_Hioxifilcon 1D Clear SPH)_무광코팅</t>
  </si>
  <si>
    <t>BS0235</t>
  </si>
  <si>
    <t>BS0235-001</t>
  </si>
  <si>
    <t>알루미늄리드지(PIA_1D 55% Clainel 리드지)_무광코팅</t>
  </si>
  <si>
    <t>BS0236</t>
  </si>
  <si>
    <t>BS0236-001</t>
  </si>
  <si>
    <t>알루미늄리드지(러시아 Optic Center ADRIA ZERO 멀티포컬 리드지)</t>
  </si>
  <si>
    <t>BS0237</t>
  </si>
  <si>
    <t>BS0237-001</t>
  </si>
  <si>
    <t>알루미늄리드지(러시아 Optic Center ADRIA ZERO 토릭 리드지)</t>
  </si>
  <si>
    <t>BS0238</t>
  </si>
  <si>
    <t>BS0238-001</t>
  </si>
  <si>
    <t>알루미늄리드지 (ANW_1D 55% OvE Toric리드지)</t>
  </si>
  <si>
    <t>BS0239</t>
  </si>
  <si>
    <t>BS0239-001</t>
  </si>
  <si>
    <t>알루미늄리드지 (Methafilcon A Daily 공용 리드지)</t>
  </si>
  <si>
    <t>BS0240</t>
  </si>
  <si>
    <t>BS0240-001</t>
  </si>
  <si>
    <t>알루미늄리드지 (Silicone Hydrogel 원데이 45% 해외공용 리드지)</t>
  </si>
  <si>
    <t>BS0241</t>
  </si>
  <si>
    <t>BS0241-001</t>
  </si>
  <si>
    <t>알루미늄리드지 (PIA_1D 55% Lumie-U Toric리드지)</t>
  </si>
  <si>
    <t>BS0242</t>
  </si>
  <si>
    <t>BS0242-001</t>
  </si>
  <si>
    <t>알루미늄리드지 (PIA_1D 55% Melloew 리드지)</t>
  </si>
  <si>
    <t>BS0243</t>
  </si>
  <si>
    <t>BS0243-001</t>
  </si>
  <si>
    <t>알루미늄리드지 (영국 FGC SiHy 1Day 리드지)</t>
  </si>
  <si>
    <t>BS0244</t>
  </si>
  <si>
    <t>BS0244-001</t>
  </si>
  <si>
    <t>알루미늄리드지 (중국 LEMONADE 1D Self Love)_유광코팅</t>
  </si>
  <si>
    <t>BS0245</t>
  </si>
  <si>
    <t>BS0245-001</t>
  </si>
  <si>
    <t>알루미늄리드지 (PIA_1D 55% Faloom 리드지)</t>
  </si>
  <si>
    <t>BS0246</t>
  </si>
  <si>
    <t>BS0246-001</t>
  </si>
  <si>
    <t>알루미늄리드지 (From-eyes_1D 38% O&amp;ME 리드지)</t>
  </si>
  <si>
    <t>BS0247</t>
  </si>
  <si>
    <t>BS0247-001</t>
  </si>
  <si>
    <t>알루미늄리드지 (중국 LEMONADE 1M Self Love)_유광 중사각</t>
  </si>
  <si>
    <t>BS0248</t>
  </si>
  <si>
    <t>BS0248-001</t>
  </si>
  <si>
    <t>알루미늄리드지 (일본 T-garden_1D 55% Cheritta)_유광코팅</t>
  </si>
  <si>
    <t>BS0249</t>
  </si>
  <si>
    <t>BS0249-001</t>
  </si>
  <si>
    <t>알루미늄리드지 (츄렌즈_1Day Color)_유광 코팅</t>
  </si>
  <si>
    <t>BS0250</t>
  </si>
  <si>
    <t>BS0250-001</t>
  </si>
  <si>
    <t>알루미늄리드지 (츄렌즈_1Month Color)_유광 코팅</t>
  </si>
  <si>
    <t>BS0251</t>
  </si>
  <si>
    <t>BS0251-001</t>
  </si>
  <si>
    <t>알루미늄리드지 (중국 Zhaungtong 1D Migu)_유광코팅</t>
  </si>
  <si>
    <t>BS0252</t>
  </si>
  <si>
    <t>BS0252-001</t>
  </si>
  <si>
    <t>알루미늄리드지_일본 ANW Hapa Kristin(1M) 이브_유광코팅</t>
  </si>
  <si>
    <t>BS0253</t>
  </si>
  <si>
    <t>BS0253-001</t>
  </si>
  <si>
    <t>알루미늄리드지 (중국 LEMONADE 1D Si-Hy)_유광코팅</t>
  </si>
  <si>
    <t>BS0254</t>
  </si>
  <si>
    <t>BS0254-001</t>
  </si>
  <si>
    <t xml:space="preserve"> 알루미늄리드지 (중국 LEMONADE 1D Hydrogel 한국어)_유광코팅</t>
  </si>
  <si>
    <t>BS0255</t>
  </si>
  <si>
    <t>BS0255-001</t>
  </si>
  <si>
    <t>알루미늄리드지 (UAE_SKY OPTICAL_리드지)</t>
  </si>
  <si>
    <t>BS0256</t>
  </si>
  <si>
    <t>BS0256-001</t>
  </si>
  <si>
    <t>렌즈케이스(본체: 투명/L: 투명, R: 투명핑크)_ (C5 01)</t>
  </si>
  <si>
    <t>BS0257</t>
  </si>
  <si>
    <t>BS0257-001</t>
  </si>
  <si>
    <t>알루미늄리드지 (중국_Moody(1D) Hello Kitty 6P)_유광코팅</t>
  </si>
  <si>
    <t>BS0258</t>
  </si>
  <si>
    <t>BS0258-001</t>
  </si>
  <si>
    <t>알루미늄리드지 (중국_Moody(1D) Hello Kitty 20P)_유광코팅</t>
  </si>
  <si>
    <t>BS0259</t>
  </si>
  <si>
    <t>BS0259-001</t>
  </si>
  <si>
    <t>알루미늄리드지 ((주)코코엘 Lighly AQUA Plus 1Day)_유광 코팅</t>
  </si>
  <si>
    <t>BS0260</t>
  </si>
  <si>
    <t>BS0260-001</t>
  </si>
  <si>
    <t>알루미늄리드지 ((주)코코엘 Lighly AQUA 1Day)_유광 코팅</t>
  </si>
  <si>
    <t>BS0261</t>
  </si>
  <si>
    <t>BS0261-001</t>
  </si>
  <si>
    <t>알루미늄리드지 (PIA_1D 55% Resay 리드지)</t>
  </si>
  <si>
    <t>BS0262</t>
  </si>
  <si>
    <t>6구 파레트(원형)_PP_TD20%(베이지)</t>
  </si>
  <si>
    <t>소프트렌즈(A)</t>
  </si>
  <si>
    <t>BS0263</t>
  </si>
  <si>
    <t>BS0263-001</t>
  </si>
  <si>
    <t>알루미늄리드지 (영국 FGC SiHy 1Day MF 리드지)</t>
  </si>
  <si>
    <t>BS0264</t>
  </si>
  <si>
    <t>BS0264-001</t>
  </si>
  <si>
    <t>알루미늄리드지 (영국 FGC Metha1Day Color 리드지)</t>
  </si>
  <si>
    <t>BS0265</t>
  </si>
  <si>
    <t>BS0265-001</t>
  </si>
  <si>
    <t>알루미늄리드지 (태국 MG Medical Group_HYA 중사각 인쇄 리드지)_무광코팅</t>
  </si>
  <si>
    <t>BS0266</t>
  </si>
  <si>
    <t>BS0266-001</t>
  </si>
  <si>
    <t>알루미늄리드지 (태국 MG M_GLAM Nature Brown 중사각 인쇄 리드지)</t>
  </si>
  <si>
    <t>BS0267</t>
  </si>
  <si>
    <t>BS0267-001</t>
  </si>
  <si>
    <t>알루미늄리드지 (태국 MG M_GLAM Nature Gray 중사각 인쇄 리드지)</t>
  </si>
  <si>
    <t>BS0268</t>
  </si>
  <si>
    <t>BS0268-001</t>
  </si>
  <si>
    <t>알루미늄리드지 (태국 MG M_GLAM Asian Brown 중사각 인쇄 리드지)</t>
  </si>
  <si>
    <t>BS0269</t>
  </si>
  <si>
    <t>BS0269-001</t>
  </si>
  <si>
    <t>알루미늄리드지 (태국 MG M_GLAM Asian Gray 중사각 인쇄 리드지)</t>
  </si>
  <si>
    <t>BS0270</t>
  </si>
  <si>
    <t>BS0270-001</t>
  </si>
  <si>
    <t>알루미늄리드지 (태국 MG M_GLAM No.1 Hazel 중사각 인쇄 리드지)</t>
  </si>
  <si>
    <t>BS0271</t>
  </si>
  <si>
    <t>BS0271-001</t>
  </si>
  <si>
    <t>알루미늄리드지 (태국 MG M_GLAM Perfect Brown 중사각 인쇄 리드지)</t>
  </si>
  <si>
    <t>BS0272</t>
  </si>
  <si>
    <t>BS0272-002</t>
  </si>
  <si>
    <t>알루미늄리드지 (태국 MG M_GLAM Glow Hazel 중사각 인쇄 리드지)</t>
  </si>
  <si>
    <t>BS0273</t>
  </si>
  <si>
    <t>BS0273-001</t>
  </si>
  <si>
    <t>알루미늄리드지 (Bella 리뉴얼 원데이 리드지(사우디))</t>
  </si>
  <si>
    <t>BS0274</t>
  </si>
  <si>
    <t>BS0274-001</t>
  </si>
  <si>
    <t>알루미늄리드지 (태국 MG M_GLAM Russian Gray 중사각 인쇄 리드지)</t>
  </si>
  <si>
    <t>BS0275</t>
  </si>
  <si>
    <t>BS0275-001</t>
  </si>
  <si>
    <t>알루미늄리드지 (태국 MG M_GLAM Russian Brown 중사각 인쇄 리드지)</t>
  </si>
  <si>
    <t>BS0276</t>
  </si>
  <si>
    <t>5구 파레트(원형)_SJ-170(화이트)</t>
  </si>
  <si>
    <t>BS0277</t>
  </si>
  <si>
    <t>BS0277-001</t>
  </si>
  <si>
    <t>알루미늄리드지 (우즈베키스탄 OKVISION_ATLAS Premium daily)</t>
  </si>
  <si>
    <t>BS0278</t>
  </si>
  <si>
    <t>BS0278-001</t>
  </si>
  <si>
    <t>알루미늄리드지 (Iris-10P)_유광 코팅</t>
  </si>
  <si>
    <t>BS0279</t>
  </si>
  <si>
    <t>BS0279-001</t>
  </si>
  <si>
    <t>알루미늄리드지 (일본 HAPA(PIA) 1D 55% Sugar High Kristin)</t>
  </si>
  <si>
    <t>BS0280</t>
  </si>
  <si>
    <t>BS0280-001</t>
  </si>
  <si>
    <t>알루미늄리드지 (일본 HAPA(PIA) 1D 55% Sugar High Kristin Plus)</t>
  </si>
  <si>
    <t>BS0281</t>
  </si>
  <si>
    <t>BS0281-001</t>
  </si>
  <si>
    <t>알루미늄리드지 (일본 HAPA(PIA) 1D 38% First Love Kristin)</t>
  </si>
  <si>
    <t>BS0282</t>
  </si>
  <si>
    <t>BS0282-001</t>
  </si>
  <si>
    <t>알루미늄리드지 (체코 Alensa metha1day color 리드지)</t>
  </si>
  <si>
    <t>BS0283</t>
  </si>
  <si>
    <t>BS0283-001</t>
  </si>
  <si>
    <t>알루미늄리드지 (폴란드 Kodano Bioxi D_Aquaview Daily)</t>
  </si>
  <si>
    <t>BS0284</t>
  </si>
  <si>
    <t>BS0284-001</t>
  </si>
  <si>
    <t>알루미늄리드지 (중국 Lensmart_Clalen_55% Metha 1Day_30P)</t>
  </si>
  <si>
    <t>BS0285</t>
  </si>
  <si>
    <t>BS0285-001</t>
  </si>
  <si>
    <t>알루미늄리드지 (PIA_1D 55% EyeStar 리드지)</t>
  </si>
  <si>
    <t>BS0286</t>
  </si>
  <si>
    <t>BS0286-001</t>
  </si>
  <si>
    <t>알루미늄리드지 (하파크리스틴_1Day Color)_14.5 유광 코팅</t>
  </si>
  <si>
    <t>BS0287</t>
  </si>
  <si>
    <t>BS0287-001</t>
  </si>
  <si>
    <t>알루미늄리드지 (일본 HAPA(PIA) 1D 38% One&amp;Only Kristin Big Plus 리드지)</t>
  </si>
  <si>
    <t>BS0288</t>
  </si>
  <si>
    <t>BS0288-001</t>
  </si>
  <si>
    <t>알루미늄리드지 (일본 HAPA(PIA) 1D 38% One&amp;Only Kristin Plus 리드지)</t>
  </si>
  <si>
    <t>BS0290</t>
  </si>
  <si>
    <t>BS0290-001</t>
  </si>
  <si>
    <t>알루미늄리드지 (태국 MG Medical Group_SISSE ONE DAY_Marie_Little Lady 리드지)</t>
  </si>
  <si>
    <t>BS0291</t>
  </si>
  <si>
    <t>BS0291-001</t>
  </si>
  <si>
    <t>알루미늄리드지 (태국 MG Medical Group_SISSE ONE DAY_Marie_Little Charm 리드지)</t>
  </si>
  <si>
    <t>BS0292</t>
  </si>
  <si>
    <t>BS0292-001</t>
  </si>
  <si>
    <t>알루미늄리드지 (태국 MG Medical Group_GLAM_Ariel_Mermaid _My Broken Heart 중사각 리드지)</t>
  </si>
  <si>
    <t>BS0293</t>
  </si>
  <si>
    <t>BS0293-001</t>
  </si>
  <si>
    <t>알루미늄리드지 (태국 MG Medical Group_GLAM_Ariel_Mermaid _Miracle World  중사각 리드지)</t>
  </si>
  <si>
    <t>BS0294</t>
  </si>
  <si>
    <t>BS0294-001</t>
  </si>
  <si>
    <t>알루미늄리드지 (태국 MG Medical Group_GLAM_Ariel_Mermaid _Make a Wish 중사각 리드지)</t>
  </si>
  <si>
    <t>BS0295</t>
  </si>
  <si>
    <t>BS0295-001</t>
  </si>
  <si>
    <t>알루미늄리드지 (태국 MG Medical Group_GLAM_Triple B_Babie Babe 중사각 리드지)</t>
  </si>
  <si>
    <t>BS0296</t>
  </si>
  <si>
    <t>BS0296-001</t>
  </si>
  <si>
    <t>알루미늄리드지 (태국 MG Medical Group_GLAM_Triple B_Blink Brink 중사각 리드지)</t>
  </si>
  <si>
    <t>BS0297</t>
  </si>
  <si>
    <t>BS0297-001</t>
  </si>
  <si>
    <t>알루미늄리드지 (태국 MG Medical Group_GLAM_Triple B_Bubble Beam 중사각 리드지)</t>
  </si>
  <si>
    <t>BS0298</t>
  </si>
  <si>
    <t>BS0298-001</t>
  </si>
  <si>
    <t>알루미늄리드지 (이탈리아 Esoform SiHy 1Day 리드지)</t>
  </si>
  <si>
    <t>BS0299</t>
  </si>
  <si>
    <t>BS0299-001</t>
  </si>
  <si>
    <t>알루미늄리드지 (러시아 OKVISION_MiracleView Sph)</t>
  </si>
  <si>
    <t>BS0300</t>
  </si>
  <si>
    <t>BS0300-001</t>
  </si>
  <si>
    <t>BS0301</t>
  </si>
  <si>
    <t>5구 파레트(원형)_PP-TD20%(베이지)</t>
  </si>
  <si>
    <t>BS0302</t>
  </si>
  <si>
    <t>SJ-170(융착산 형상 6개 추가)</t>
  </si>
  <si>
    <t>BS0303</t>
  </si>
  <si>
    <t>BS0303-001</t>
  </si>
  <si>
    <t>알루미늄리드지 ((주)코코엘 Lighly Creamy 1Day)</t>
  </si>
  <si>
    <t>BS0304</t>
  </si>
  <si>
    <t>BS0304-001</t>
  </si>
  <si>
    <t>알루미늄리드지(Lighly Creamy 1Day Choco_30P)</t>
  </si>
  <si>
    <t>BS0305</t>
  </si>
  <si>
    <t>BS0305-001</t>
  </si>
  <si>
    <t>알루미늄리드지(Lighly Creamy 1Day Brown_30P)</t>
  </si>
  <si>
    <t>BS0306</t>
  </si>
  <si>
    <t>BS0306-001</t>
  </si>
  <si>
    <t>알루미늄리드지(Lighly Creamy 1Day Gray_30P)</t>
  </si>
  <si>
    <t>BS0307</t>
  </si>
  <si>
    <t>BS0307-001</t>
  </si>
  <si>
    <t>알루미늄리드지(Lighly Creamy 1Day Rose_30P)</t>
  </si>
  <si>
    <t>BS0308</t>
  </si>
  <si>
    <t>BS0308-001</t>
  </si>
  <si>
    <t>알루미늄리드지(Lighly Creamy 1Day Black_30P)</t>
  </si>
  <si>
    <t>BS0309</t>
  </si>
  <si>
    <t>BS0309-001</t>
  </si>
  <si>
    <t>알루미늄리드지 (러시아 Optic Center Adria X)</t>
  </si>
  <si>
    <t>BS0310</t>
  </si>
  <si>
    <t>BS0310-001</t>
  </si>
  <si>
    <t>알루미늄리드지 (태국 MG Medical Group_SISSE ONE DAY_BaBe Apricot 리드지)</t>
  </si>
  <si>
    <t>BS0311</t>
  </si>
  <si>
    <t>BS0311-001</t>
  </si>
  <si>
    <t>알루미늄리드지 (태국 MG Medical Group_SISSE ONE DAY_PoPo Milk Tea 리드지)</t>
  </si>
  <si>
    <t>BS0312</t>
  </si>
  <si>
    <t>BS0312-001</t>
  </si>
  <si>
    <t>알루미늄리드지 (태국 MG Medical Group_SISSE ONE DAY_PoPo Ceylon 리드지)</t>
  </si>
  <si>
    <t>BS0313</t>
  </si>
  <si>
    <t>BS0313-001</t>
  </si>
  <si>
    <t>알루미늄리드지 (태국 MG Medical Group_SISSE ONE DAY_LiLi Sugar 리드지)</t>
  </si>
  <si>
    <t>BS0314</t>
  </si>
  <si>
    <t>MAKER : SCGC , P/N : P655 IM</t>
  </si>
  <si>
    <t>블리스터케이스(원데이_P655 IM)</t>
  </si>
  <si>
    <t>BS0315</t>
  </si>
  <si>
    <t>BS0315-001</t>
  </si>
  <si>
    <t>알루미늄리드지 (베트남 Calen_CARASE_Contact Lens 1Day 리드지)</t>
  </si>
  <si>
    <t>BS0316</t>
  </si>
  <si>
    <t>BS0316-001</t>
  </si>
  <si>
    <t>알루미늄리드지 (PIA_1M 38% LILMOON 리드지)</t>
  </si>
  <si>
    <t>BS0317</t>
  </si>
  <si>
    <t>BS0317-001</t>
  </si>
  <si>
    <t>알루미늄리드지 (PIA_1M 38% MOLAK 리드지)</t>
  </si>
  <si>
    <t>BS0318</t>
  </si>
  <si>
    <t>BS0318-001</t>
  </si>
  <si>
    <t>알루미늄리드지 (PIA_1M 38% feliamo 리드지)</t>
  </si>
  <si>
    <t>BS0319</t>
  </si>
  <si>
    <t>BS0319-001</t>
  </si>
  <si>
    <t>알루미늄리드지 (클라렌 오투오투 컬러 원데이 미셀리아 10P 리드지(SILICONE 제외)_라이트 브라운)</t>
  </si>
  <si>
    <t>BS0320</t>
  </si>
  <si>
    <t>BS0320-001</t>
  </si>
  <si>
    <t>알루미늄리드지 (태국 MG Medical Group_Toy Story_UJU Stellar Black)</t>
  </si>
  <si>
    <t>BS0321</t>
  </si>
  <si>
    <t>BS0321-001</t>
  </si>
  <si>
    <t>알루미늄리드지 (태국 MG Medical Group_Toy Story_Bebie Blue Sheep)</t>
  </si>
  <si>
    <t>BS0322</t>
  </si>
  <si>
    <t>BS0322-001</t>
  </si>
  <si>
    <t>알루미늄리드지 (태국 MG Medical Group_Toy Story_Zero Space Gray)</t>
  </si>
  <si>
    <t>BS0323</t>
  </si>
  <si>
    <t>BS0323-001</t>
  </si>
  <si>
    <t>알루미늄리드지 (태국 MG Medical Group_Toy Story_Rock Star Cactus)</t>
  </si>
  <si>
    <t>BS0324</t>
  </si>
  <si>
    <t>BS0324-001</t>
  </si>
  <si>
    <t>알루미늄리드지 (태국 MG Medical Group_Toy Story_Bootie Cow Hazel)</t>
  </si>
  <si>
    <t>BS0325</t>
  </si>
  <si>
    <t>BS0325-001</t>
  </si>
  <si>
    <t>알루미늄리드지 (국내 PIA 공용)</t>
  </si>
  <si>
    <t>BS0326</t>
  </si>
  <si>
    <t>BS0326-001</t>
  </si>
  <si>
    <t>알루미늄리드지 (국내 PIA 1D 55% Resay)</t>
  </si>
  <si>
    <t>BS0327</t>
  </si>
  <si>
    <t>BS0327-001</t>
  </si>
  <si>
    <t>알루미늄리드지 (국내 PIA 1D 55% Melloew)</t>
  </si>
  <si>
    <t>BS0328</t>
  </si>
  <si>
    <t>BS0328-001</t>
  </si>
  <si>
    <t>알루미늄리드지 (국내 PIA 1D 55% Faloom)</t>
  </si>
  <si>
    <t>BS0329</t>
  </si>
  <si>
    <t>BS0329-001</t>
  </si>
  <si>
    <t>알루미늄리드지 (국내 PIA 1D 55% Clainel)</t>
  </si>
  <si>
    <t>BS0330</t>
  </si>
  <si>
    <t>BS0330-001</t>
  </si>
  <si>
    <t>알루미늄리드지 (국내 PIA 1D 55% Eyestar)</t>
  </si>
  <si>
    <t>BS0331</t>
  </si>
  <si>
    <t>BS0331-001</t>
  </si>
  <si>
    <t>알루미늄리드지 (렌즈미 Torica 1DAY YOUS_BLACK)</t>
  </si>
  <si>
    <t>BS0332</t>
  </si>
  <si>
    <t>BS0332-001</t>
  </si>
  <si>
    <t>알루미늄리드지 (렌즈미 Torica 1DAY YOUSON_BROWN)</t>
  </si>
  <si>
    <t>BS0333</t>
  </si>
  <si>
    <t>BS0333-001</t>
  </si>
  <si>
    <t>알루미늄리드지 (Monthly_무지) (80mm)</t>
  </si>
  <si>
    <t>BS0334</t>
  </si>
  <si>
    <t>BS0334-001</t>
  </si>
  <si>
    <t>알루미늄리드지 (Clalen O2O2 Color 1Month Micelia)</t>
  </si>
  <si>
    <t>BS0335</t>
  </si>
  <si>
    <t>BS0335-001</t>
  </si>
  <si>
    <t>블리스터케이스(소사각 3)</t>
  </si>
  <si>
    <t>BS0336</t>
  </si>
  <si>
    <t>BS0336-001</t>
  </si>
  <si>
    <t>알루미늄리드지 (폴란드 FML Oviso Hioxi D 리드지)</t>
  </si>
  <si>
    <t>BS0337</t>
  </si>
  <si>
    <t>BS0337-001</t>
  </si>
  <si>
    <t>알루미늄리드지 (PIA_1M 38% TOPARDS 리드지)</t>
  </si>
  <si>
    <t>BS0338</t>
  </si>
  <si>
    <t>BS0338-001</t>
  </si>
  <si>
    <t>알루미늄리드지 (태국 MG Medical Group_GLAM_Queen of Poison 중사각 리드지)</t>
  </si>
  <si>
    <t>BS0339</t>
  </si>
  <si>
    <t>BS0339-001</t>
  </si>
  <si>
    <t>알루미늄리드지 (태국 MG Medical Group_GLAM_Queen of Savage 중사각 리드지)</t>
  </si>
  <si>
    <t>BS0340</t>
  </si>
  <si>
    <t>BS0340-001</t>
  </si>
  <si>
    <t>알루미늄리드지 (태국 MG Medical Group_GLAM_Queen of Thorns 중사각 리드지)</t>
  </si>
  <si>
    <t>BS0341</t>
  </si>
  <si>
    <t>BS0341-001</t>
  </si>
  <si>
    <t>알루미늄리드지 (PIA_1M 38% Melady 리드지)</t>
  </si>
  <si>
    <t>BS0342</t>
  </si>
  <si>
    <t>HP602N</t>
  </si>
  <si>
    <t>블리스터용 PP (HP602N)</t>
  </si>
  <si>
    <t>BS0343</t>
  </si>
  <si>
    <t>BS0343-001</t>
  </si>
  <si>
    <t>알루미늄리드지 (렌즈미 CleanFit O2 clear 1Day (30개입))</t>
  </si>
  <si>
    <t>BS0344</t>
  </si>
  <si>
    <t>BS0344-001</t>
  </si>
  <si>
    <t>알루미늄리드지 (이탈리아 Esoform Bioxi D_Visiosan)_유광코팅</t>
  </si>
  <si>
    <t>BS0345</t>
  </si>
  <si>
    <t>블리스터케이스(소사각 3_HP602N)</t>
  </si>
  <si>
    <t>원자재</t>
  </si>
  <si>
    <t>BS0346</t>
  </si>
  <si>
    <t>BS0346-001</t>
  </si>
  <si>
    <t>알루미늄리드지 (글라스바바 Oravis 1Day 30P)</t>
  </si>
  <si>
    <t>2026-04-09기준</t>
    <phoneticPr fontId="1" type="noConversion"/>
  </si>
  <si>
    <t>IRIS SOUL BROWN</t>
    <phoneticPr fontId="1" type="noConversion"/>
  </si>
  <si>
    <t>합계</t>
    <phoneticPr fontId="1" type="noConversion"/>
  </si>
  <si>
    <t>요청
납기</t>
    <phoneticPr fontId="1" type="noConversion"/>
  </si>
  <si>
    <t>조정
납기</t>
    <phoneticPr fontId="1" type="noConversion"/>
  </si>
  <si>
    <t>납기확정사항
(생산기획팀)</t>
    <phoneticPr fontId="1" type="noConversion"/>
  </si>
  <si>
    <t>X2376~78</t>
    <phoneticPr fontId="1" type="noConversion"/>
  </si>
  <si>
    <t>창고</t>
  </si>
  <si>
    <t>구분</t>
  </si>
  <si>
    <t>대분류</t>
  </si>
  <si>
    <t>중분류</t>
  </si>
  <si>
    <t>Lot.No</t>
  </si>
  <si>
    <t>기초</t>
  </si>
  <si>
    <t>입고</t>
  </si>
  <si>
    <t>출고</t>
  </si>
  <si>
    <t>재고</t>
  </si>
  <si>
    <t>검사대기</t>
  </si>
  <si>
    <t>단위</t>
  </si>
  <si>
    <t>용마창고</t>
  </si>
  <si>
    <t>EA</t>
  </si>
  <si>
    <t>L관창고(자재)</t>
  </si>
  <si>
    <t>L관창고(자재불량)</t>
  </si>
  <si>
    <t>하드실 원재료</t>
  </si>
  <si>
    <t>A관 공정부자재</t>
  </si>
  <si>
    <t>C관 공정부자재</t>
  </si>
  <si>
    <t>S관 공정부자재</t>
  </si>
  <si>
    <t>열 레이블</t>
  </si>
  <si>
    <t>총합계</t>
  </si>
  <si>
    <t>행 레이블</t>
  </si>
  <si>
    <t>합계 : 재고</t>
  </si>
  <si>
    <t>L관재고</t>
    <phoneticPr fontId="1" type="noConversion"/>
  </si>
  <si>
    <t>4/16</t>
    <phoneticPr fontId="1" type="noConversion"/>
  </si>
  <si>
    <t>4/15</t>
    <phoneticPr fontId="1" type="noConversion"/>
  </si>
  <si>
    <t>4/14</t>
    <phoneticPr fontId="1" type="noConversion"/>
  </si>
  <si>
    <t>BS0103-001</t>
  </si>
  <si>
    <t>HW0315 (5/2 출고)</t>
    <phoneticPr fontId="1" type="noConversion"/>
  </si>
  <si>
    <t>X2366 (4/25 출고)</t>
    <phoneticPr fontId="1" type="noConversion"/>
  </si>
  <si>
    <t>V3066~V3070 (5/15 출고)</t>
    <phoneticPr fontId="1" type="noConversion"/>
  </si>
  <si>
    <t>X2395 (5/11 출고)</t>
    <phoneticPr fontId="1" type="noConversion"/>
  </si>
  <si>
    <t>X2396 (5/11 출고)</t>
    <phoneticPr fontId="1" type="noConversion"/>
  </si>
  <si>
    <t>HW0312 (5/2 출고)</t>
    <phoneticPr fontId="1" type="noConversion"/>
  </si>
  <si>
    <t>5/18 출고</t>
    <phoneticPr fontId="1" type="noConversion"/>
  </si>
  <si>
    <t>5/25 출고</t>
    <phoneticPr fontId="1" type="noConversion"/>
  </si>
  <si>
    <t>202604010001(국내)</t>
    <phoneticPr fontId="1" type="noConversion"/>
  </si>
  <si>
    <t>4/23</t>
    <phoneticPr fontId="1" type="noConversion"/>
  </si>
  <si>
    <t>4/27</t>
    <phoneticPr fontId="1" type="noConversion"/>
  </si>
  <si>
    <t>BS0059</t>
    <phoneticPr fontId="1" type="noConversion"/>
  </si>
  <si>
    <t>BS0227</t>
    <phoneticPr fontId="1" type="noConversion"/>
  </si>
  <si>
    <t>BS0154</t>
    <phoneticPr fontId="1" type="noConversion"/>
  </si>
  <si>
    <t>알루미늄리드지 (Bella 1Day Color)_유광 코팅</t>
    <phoneticPr fontId="1" type="noConversion"/>
  </si>
  <si>
    <t>4/23</t>
    <phoneticPr fontId="1" type="noConversion"/>
  </si>
  <si>
    <t>4/27</t>
    <phoneticPr fontId="1" type="noConversion"/>
  </si>
  <si>
    <t>4/28</t>
    <phoneticPr fontId="1" type="noConversion"/>
  </si>
  <si>
    <t>Sample PIA 1D 55% Chapun_유광</t>
    <phoneticPr fontId="1" type="noConversion"/>
  </si>
  <si>
    <t>Sample BS0317-001 체코 Alensa metha 1day Color_유광</t>
    <phoneticPr fontId="1" type="noConversion"/>
  </si>
  <si>
    <t>4/29</t>
    <phoneticPr fontId="1" type="noConversion"/>
  </si>
  <si>
    <t>알루미늄리드지 (Clalen O2O2 Color 1Month Micelia)_무광</t>
    <phoneticPr fontId="1" type="noConversion"/>
  </si>
  <si>
    <t>BS0286</t>
    <phoneticPr fontId="1" type="noConversion"/>
  </si>
  <si>
    <t>BS0317</t>
    <phoneticPr fontId="1" type="noConversion"/>
  </si>
  <si>
    <t>하파크리스틴 1Day Color 14.5_유광</t>
    <phoneticPr fontId="1" type="noConversion"/>
  </si>
  <si>
    <t>PIA 1M 38% MOLAK_유광</t>
    <phoneticPr fontId="1" type="noConversion"/>
  </si>
  <si>
    <t>4/30</t>
    <phoneticPr fontId="1" type="noConversion"/>
  </si>
  <si>
    <t>5/8</t>
    <phoneticPr fontId="1" type="noConversion"/>
  </si>
  <si>
    <t>4/29</t>
    <phoneticPr fontId="1" type="noConversion"/>
  </si>
  <si>
    <t>5/7</t>
    <phoneticPr fontId="1" type="noConversion"/>
  </si>
  <si>
    <t>5/11</t>
  </si>
  <si>
    <t>5/12</t>
    <phoneticPr fontId="1" type="noConversion"/>
  </si>
  <si>
    <t>5/13</t>
    <phoneticPr fontId="1" type="noConversion"/>
  </si>
  <si>
    <t>5/9</t>
  </si>
  <si>
    <t>5/10</t>
  </si>
  <si>
    <t>BS0110</t>
    <phoneticPr fontId="1" type="noConversion"/>
  </si>
  <si>
    <t>BS0072</t>
    <phoneticPr fontId="1" type="noConversion"/>
  </si>
  <si>
    <t>캐나다 PIA 1Day 55% Color_유광</t>
    <phoneticPr fontId="1" type="noConversion"/>
  </si>
  <si>
    <t>캐나다 PIA 1Day_유광</t>
    <phoneticPr fontId="1" type="noConversion"/>
  </si>
  <si>
    <t>5/4</t>
    <phoneticPr fontId="1" type="noConversion"/>
  </si>
  <si>
    <t>5/7~</t>
    <phoneticPr fontId="1" type="noConversion"/>
  </si>
  <si>
    <t>5/11</t>
    <phoneticPr fontId="1" type="noConversion"/>
  </si>
  <si>
    <t>BS0333</t>
    <phoneticPr fontId="1" type="noConversion"/>
  </si>
  <si>
    <t>Monthly_무지 80mm</t>
    <phoneticPr fontId="1" type="noConversion"/>
  </si>
  <si>
    <t>BS0187</t>
    <phoneticPr fontId="1" type="noConversion"/>
  </si>
  <si>
    <t>중국 법인 JEWEL MOON 1D Color_유광</t>
    <phoneticPr fontId="1" type="noConversion"/>
  </si>
  <si>
    <t>BS0155</t>
    <phoneticPr fontId="1" type="noConversion"/>
  </si>
  <si>
    <t>공용 Alcon Freshlook CC Lens_유광</t>
    <phoneticPr fontId="1" type="noConversion"/>
  </si>
  <si>
    <t>5/29</t>
    <phoneticPr fontId="1" type="noConversion"/>
  </si>
  <si>
    <t>5/7</t>
    <phoneticPr fontId="1" type="noConversion"/>
  </si>
  <si>
    <t>5/8</t>
    <phoneticPr fontId="1" type="noConversion"/>
  </si>
  <si>
    <t>BS0279</t>
    <phoneticPr fontId="1" type="noConversion"/>
  </si>
  <si>
    <t>일본 HAPA(PIA) 1D 55% Suger High Kristin_유광</t>
    <phoneticPr fontId="1" type="noConversion"/>
  </si>
  <si>
    <t>5/11</t>
    <phoneticPr fontId="1" type="noConversion"/>
  </si>
  <si>
    <t>BS0129</t>
    <phoneticPr fontId="1" type="noConversion"/>
  </si>
  <si>
    <t>중국향 Clalen RINA 1-Day_유광</t>
    <phoneticPr fontId="1" type="noConversion"/>
  </si>
  <si>
    <t>BS0050</t>
    <phoneticPr fontId="1" type="noConversion"/>
  </si>
  <si>
    <t>Iris 수지 그레이_무광</t>
    <phoneticPr fontId="1" type="noConversion"/>
  </si>
  <si>
    <t>5/13</t>
    <phoneticPr fontId="1" type="noConversion"/>
  </si>
  <si>
    <t>BS0066</t>
    <phoneticPr fontId="1" type="noConversion"/>
  </si>
  <si>
    <t>이태리 Soleko - Queen's one 원데이 컬러_유광</t>
    <phoneticPr fontId="1" type="noConversion"/>
  </si>
  <si>
    <t>5/15</t>
    <phoneticPr fontId="1" type="noConversion"/>
  </si>
  <si>
    <t>BS0318</t>
    <phoneticPr fontId="1" type="noConversion"/>
  </si>
  <si>
    <t>PIA 1M 38% feliamo_유광</t>
    <phoneticPr fontId="1" type="noConversion"/>
  </si>
  <si>
    <t>BS0126</t>
    <phoneticPr fontId="1" type="noConversion"/>
  </si>
  <si>
    <t>일본 From eyes Eyecloset UV_무광</t>
    <phoneticPr fontId="1" type="noConversion"/>
  </si>
  <si>
    <t>5/18</t>
    <phoneticPr fontId="1" type="noConversion"/>
  </si>
  <si>
    <t>5/14</t>
    <phoneticPr fontId="1" type="noConversion"/>
  </si>
  <si>
    <t>5/18</t>
    <phoneticPr fontId="1" type="noConversion"/>
  </si>
  <si>
    <t>5/19</t>
    <phoneticPr fontId="1" type="noConversion"/>
  </si>
  <si>
    <t>기간 : 5월1일~5월30일</t>
    <phoneticPr fontId="1" type="noConversion"/>
  </si>
  <si>
    <t>BS0115</t>
    <phoneticPr fontId="1" type="noConversion"/>
  </si>
  <si>
    <t>무지-백색 PET12/AL50/CPP100 WHITE</t>
    <phoneticPr fontId="1" type="noConversion"/>
  </si>
  <si>
    <t>5/13</t>
    <phoneticPr fontId="1" type="noConversion"/>
  </si>
  <si>
    <t>5/11</t>
    <phoneticPr fontId="1" type="noConversion"/>
  </si>
  <si>
    <t>BS0062</t>
    <phoneticPr fontId="1" type="noConversion"/>
  </si>
  <si>
    <t>BS0098</t>
    <phoneticPr fontId="1" type="noConversion"/>
  </si>
  <si>
    <t>BS0349</t>
    <phoneticPr fontId="1" type="noConversion"/>
  </si>
  <si>
    <t>BS0350</t>
  </si>
  <si>
    <t>BS0351</t>
  </si>
  <si>
    <t>일본 sincere Natural 1day Moisture_유광</t>
    <phoneticPr fontId="1" type="noConversion"/>
  </si>
  <si>
    <t>러시아 Optic Center ADRIA ZERO_유광</t>
    <phoneticPr fontId="1" type="noConversion"/>
  </si>
  <si>
    <t>체코 Alensa SiHy M Topvue Air SMHL_</t>
    <phoneticPr fontId="1" type="noConversion"/>
  </si>
  <si>
    <t>체코 Alensa SiHy M Topvue Premium SMHL_</t>
    <phoneticPr fontId="1" type="noConversion"/>
  </si>
  <si>
    <t>체코 Alensa SiHy M White SMHL_</t>
    <phoneticPr fontId="1" type="noConversion"/>
  </si>
  <si>
    <t>5/18</t>
    <phoneticPr fontId="1" type="noConversion"/>
  </si>
  <si>
    <t>5/20</t>
    <phoneticPr fontId="1" type="noConversion"/>
  </si>
  <si>
    <t>Sample 중국 CoFANCY 1day_유광</t>
    <phoneticPr fontId="1" type="noConversion"/>
  </si>
  <si>
    <t>5/29</t>
    <phoneticPr fontId="1" type="noConversion"/>
  </si>
  <si>
    <t>5/14</t>
    <phoneticPr fontId="1" type="noConversion"/>
  </si>
  <si>
    <t>5/27</t>
    <phoneticPr fontId="1" type="noConversion"/>
  </si>
  <si>
    <t>BS0145</t>
    <phoneticPr fontId="1" type="noConversion"/>
  </si>
  <si>
    <t>BS0052</t>
    <phoneticPr fontId="1" type="noConversion"/>
  </si>
  <si>
    <t>BS0317</t>
    <phoneticPr fontId="1" type="noConversion"/>
  </si>
  <si>
    <t>일본 PIA 1day 38% mimuco_유광</t>
    <phoneticPr fontId="1" type="noConversion"/>
  </si>
  <si>
    <t>Iris Toric_무광</t>
    <phoneticPr fontId="1" type="noConversion"/>
  </si>
  <si>
    <t>PIA 1M 38% TOPARDS_유광</t>
    <phoneticPr fontId="1" type="noConversion"/>
  </si>
  <si>
    <t>5/29</t>
    <phoneticPr fontId="1" type="noConversion"/>
  </si>
  <si>
    <t>5/22</t>
    <phoneticPr fontId="1" type="noConversion"/>
  </si>
  <si>
    <t>5/22</t>
    <phoneticPr fontId="1" type="noConversion"/>
  </si>
  <si>
    <t>5/28</t>
    <phoneticPr fontId="1" type="noConversion"/>
  </si>
  <si>
    <t>완료구분</t>
    <phoneticPr fontId="1" type="noConversion"/>
  </si>
  <si>
    <t>완료</t>
    <phoneticPr fontId="1" type="noConversion"/>
  </si>
  <si>
    <t>확정
납기</t>
    <phoneticPr fontId="1" type="noConversion"/>
  </si>
  <si>
    <t>완료</t>
    <phoneticPr fontId="1" type="noConversion"/>
  </si>
  <si>
    <t>5/20</t>
    <phoneticPr fontId="1" type="noConversion"/>
  </si>
  <si>
    <t>5/22</t>
    <phoneticPr fontId="1" type="noConversion"/>
  </si>
  <si>
    <t>5/27</t>
    <phoneticPr fontId="1" type="noConversion"/>
  </si>
  <si>
    <t>5/28</t>
    <phoneticPr fontId="1" type="noConversion"/>
  </si>
  <si>
    <t>5/29</t>
    <phoneticPr fontId="1" type="noConversion"/>
  </si>
  <si>
    <t>5/21</t>
    <phoneticPr fontId="1" type="noConversion"/>
  </si>
  <si>
    <t>"</t>
    <phoneticPr fontId="1" type="noConversion"/>
  </si>
  <si>
    <t>PET</t>
    <phoneticPr fontId="1" type="noConversion"/>
  </si>
  <si>
    <t>AL</t>
    <phoneticPr fontId="1" type="noConversion"/>
  </si>
  <si>
    <t>CPP</t>
    <phoneticPr fontId="1" type="noConversion"/>
  </si>
  <si>
    <t>MIN 500만개</t>
    <phoneticPr fontId="1" type="noConversion"/>
  </si>
  <si>
    <t>MIN 1000만개</t>
    <phoneticPr fontId="1" type="noConversion"/>
  </si>
  <si>
    <t>MIN 1개월분</t>
    <phoneticPr fontId="1" type="noConversion"/>
  </si>
  <si>
    <t>인쇄대기        (CMS보관)</t>
    <phoneticPr fontId="1" type="noConversion"/>
  </si>
  <si>
    <t>에이징완료        (희성보관)</t>
    <phoneticPr fontId="1" type="noConversion"/>
  </si>
  <si>
    <t>원자재(희성보관)</t>
    <phoneticPr fontId="1" type="noConversion"/>
  </si>
  <si>
    <t>원자재(입고예정)</t>
    <phoneticPr fontId="1" type="noConversion"/>
  </si>
  <si>
    <t>일자</t>
    <phoneticPr fontId="1" type="noConversion"/>
  </si>
  <si>
    <t>안전재고
설정기준</t>
    <phoneticPr fontId="1" type="noConversion"/>
  </si>
  <si>
    <t>I. 인터로조 PO / 납품 스케줄</t>
    <phoneticPr fontId="1" type="noConversion"/>
  </si>
  <si>
    <t>II. 리드지용 재고관리</t>
    <phoneticPr fontId="1" type="noConversion"/>
  </si>
  <si>
    <t>BS0073</t>
    <phoneticPr fontId="1" type="noConversion"/>
  </si>
  <si>
    <t>5/29</t>
    <phoneticPr fontId="1" type="noConversion"/>
  </si>
  <si>
    <t>BS0149</t>
    <phoneticPr fontId="1" type="noConversion"/>
  </si>
  <si>
    <t>Clalen O2O2 Color 1Day_무광</t>
    <phoneticPr fontId="1" type="noConversion"/>
  </si>
  <si>
    <t>BS0086</t>
    <phoneticPr fontId="1" type="noConversion"/>
  </si>
  <si>
    <t>Iris 수지 브라운 _ 무광</t>
    <phoneticPr fontId="1" type="noConversion"/>
  </si>
  <si>
    <t>6/5</t>
    <phoneticPr fontId="1" type="noConversion"/>
  </si>
  <si>
    <t>BS0219</t>
    <phoneticPr fontId="1" type="noConversion"/>
  </si>
  <si>
    <t>한국 하파크리스틴(1M) 핑크 리드지_유광 (중사각)</t>
    <phoneticPr fontId="1" type="noConversion"/>
  </si>
  <si>
    <t>6/8</t>
    <phoneticPr fontId="1" type="noConversion"/>
  </si>
  <si>
    <t>BS0162</t>
    <phoneticPr fontId="1" type="noConversion"/>
  </si>
  <si>
    <t>국내 OPTACON ZOOM 1-Day_무광</t>
    <phoneticPr fontId="1" type="noConversion"/>
  </si>
  <si>
    <t>6/12</t>
    <phoneticPr fontId="1" type="noConversion"/>
  </si>
  <si>
    <t>BS0150</t>
    <phoneticPr fontId="1" type="noConversion"/>
  </si>
  <si>
    <t>일본 ANW Dopewink 1D 리드지_유광</t>
    <phoneticPr fontId="1" type="noConversion"/>
  </si>
  <si>
    <t>6/15</t>
    <phoneticPr fontId="1" type="noConversion"/>
  </si>
  <si>
    <t>6/2</t>
    <phoneticPr fontId="1" type="noConversion"/>
  </si>
  <si>
    <t>6/9</t>
    <phoneticPr fontId="1" type="noConversion"/>
  </si>
  <si>
    <t>5/26</t>
    <phoneticPr fontId="1" type="noConversion"/>
  </si>
  <si>
    <t>완료</t>
    <phoneticPr fontId="1" type="noConversion"/>
  </si>
  <si>
    <t>※ 입고 예정분은 공급사 창고 보관분 포함</t>
    <phoneticPr fontId="1" type="noConversion"/>
  </si>
  <si>
    <t>BS0054</t>
    <phoneticPr fontId="1" type="noConversion"/>
  </si>
  <si>
    <t>6/10</t>
    <phoneticPr fontId="1" type="noConversion"/>
  </si>
  <si>
    <t>BS0073</t>
    <phoneticPr fontId="1" type="noConversion"/>
  </si>
  <si>
    <t>BS0248</t>
    <phoneticPr fontId="1" type="noConversion"/>
  </si>
  <si>
    <t>일본 T-garden 1D 55% Cheritta_유광</t>
    <phoneticPr fontId="1" type="noConversion"/>
  </si>
  <si>
    <t>6/5</t>
    <phoneticPr fontId="1" type="noConversion"/>
  </si>
  <si>
    <t>BS0286</t>
    <phoneticPr fontId="1" type="noConversion"/>
  </si>
  <si>
    <t>BS0193</t>
    <phoneticPr fontId="1" type="noConversion"/>
  </si>
  <si>
    <t>태국MG Medical Group SISSE ONE DAY MINI JEJE Bronze_무광</t>
    <phoneticPr fontId="1" type="noConversion"/>
  </si>
  <si>
    <t>BS0353</t>
    <phoneticPr fontId="1" type="noConversion"/>
  </si>
  <si>
    <t>PIA 1D 55% Chapun_유광</t>
    <phoneticPr fontId="1" type="noConversion"/>
  </si>
  <si>
    <t>6/19</t>
    <phoneticPr fontId="1" type="noConversion"/>
  </si>
  <si>
    <t>BS0325</t>
    <phoneticPr fontId="1" type="noConversion"/>
  </si>
  <si>
    <t>국내 PIA 공용_유광</t>
    <phoneticPr fontId="1" type="noConversion"/>
  </si>
  <si>
    <t>BS0226</t>
    <phoneticPr fontId="1" type="noConversion"/>
  </si>
  <si>
    <t>dl</t>
    <phoneticPr fontId="1" type="noConversion"/>
  </si>
  <si>
    <t>이탈리아 Marshal SiHy 1Day_무광</t>
    <phoneticPr fontId="1" type="noConversion"/>
  </si>
  <si>
    <t>5/29</t>
    <phoneticPr fontId="1" type="noConversion"/>
  </si>
  <si>
    <t>BS0191</t>
    <phoneticPr fontId="1" type="noConversion"/>
  </si>
  <si>
    <t>하파크리스틴 1Day Color_유광</t>
    <phoneticPr fontId="1" type="noConversion"/>
  </si>
  <si>
    <t>BS0311</t>
    <phoneticPr fontId="1" type="noConversion"/>
  </si>
  <si>
    <t>BS0275</t>
    <phoneticPr fontId="1" type="noConversion"/>
  </si>
  <si>
    <t>태국MG Medical Group SISSE ONE DAY PoPo Milk Tea_무광</t>
    <phoneticPr fontId="1" type="noConversion"/>
  </si>
  <si>
    <t>6/1</t>
    <phoneticPr fontId="1" type="noConversion"/>
  </si>
  <si>
    <t>6/3</t>
    <phoneticPr fontId="1" type="noConversion"/>
  </si>
  <si>
    <t>5/25</t>
    <phoneticPr fontId="1" type="noConversion"/>
  </si>
  <si>
    <t>6/9</t>
    <phoneticPr fontId="1" type="noConversion"/>
  </si>
  <si>
    <t>6/5</t>
  </si>
  <si>
    <t>6/1</t>
  </si>
  <si>
    <t>5/29</t>
  </si>
  <si>
    <t>6/19</t>
  </si>
  <si>
    <t>6/2</t>
  </si>
  <si>
    <t>태국MGM GLAM Russian Brown_무광 (중사각)</t>
    <phoneticPr fontId="1" type="noConversion"/>
  </si>
  <si>
    <t>Ver. 2605271900</t>
    <phoneticPr fontId="1" type="noConversion"/>
  </si>
  <si>
    <t>6/3</t>
    <phoneticPr fontId="1" type="noConversion"/>
  </si>
  <si>
    <t>6/15</t>
  </si>
  <si>
    <t>6/12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</si>
</sst>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76" formatCode="mm&quot;월&quot;\ dd&quot;일&quot;"/>
    <numFmt numFmtId="177" formatCode="mm\/dd"/>
    <numFmt numFmtId="178" formatCode="mm\/dd\(aaa\)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u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trike/>
      <sz val="12"/>
      <color rgb="FFC0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trike/>
      <sz val="12"/>
      <color rgb="FFC00000"/>
      <name val="맑은 고딕"/>
      <family val="3"/>
      <charset val="129"/>
      <scheme val="minor"/>
    </font>
    <font>
      <sz val="11"/>
      <color rgb="FF0000FF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trike/>
      <sz val="14"/>
      <color rgb="FFC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rgb="FFC0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6"/>
      <color rgb="FF0000FF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/>
      <bottom style="thin">
        <color indexed="64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  <border>
      <left style="thin">
        <color indexed="64"/>
      </left>
      <right style="dashed">
        <color auto="1"/>
      </right>
      <top style="thin">
        <color indexed="64"/>
      </top>
      <bottom style="dashed">
        <color auto="1"/>
      </bottom>
      <diagonal/>
    </border>
    <border>
      <left style="dashed">
        <color auto="1"/>
      </left>
      <right style="thin">
        <color indexed="64"/>
      </right>
      <top style="thin">
        <color indexed="64"/>
      </top>
      <bottom style="dashed">
        <color auto="1"/>
      </bottom>
      <diagonal/>
    </border>
    <border>
      <left style="thin">
        <color indexed="64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indexed="64"/>
      </right>
      <top/>
      <bottom/>
      <diagonal/>
    </border>
    <border>
      <left style="thin">
        <color indexed="64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dashed">
        <color auto="1"/>
      </right>
      <top style="dashed">
        <color auto="1"/>
      </top>
      <bottom style="thin">
        <color indexed="64"/>
      </bottom>
      <diagonal/>
    </border>
    <border>
      <left style="dashed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thin">
        <color indexed="64"/>
      </bottom>
      <diagonal/>
    </border>
    <border>
      <left/>
      <right style="dashed">
        <color auto="1"/>
      </right>
      <top style="dashed">
        <color auto="1"/>
      </top>
      <bottom style="thin">
        <color indexed="64"/>
      </bottom>
      <diagonal/>
    </border>
    <border>
      <left style="dashed">
        <color auto="1"/>
      </left>
      <right style="thin">
        <color indexed="64"/>
      </right>
      <top style="dashed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7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quotePrefix="1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176" fontId="4" fillId="0" borderId="1" xfId="0" quotePrefix="1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176" fontId="4" fillId="0" borderId="0" xfId="0" quotePrefix="1" applyNumberFormat="1" applyFont="1" applyAlignment="1">
      <alignment horizontal="center" vertical="center"/>
    </xf>
    <xf numFmtId="41" fontId="4" fillId="0" borderId="0" xfId="1" applyFont="1">
      <alignment vertical="center"/>
    </xf>
    <xf numFmtId="41" fontId="4" fillId="0" borderId="0" xfId="1" applyFont="1" applyAlignment="1">
      <alignment horizontal="center" vertical="center"/>
    </xf>
    <xf numFmtId="41" fontId="2" fillId="0" borderId="0" xfId="1" applyFont="1" applyAlignment="1">
      <alignment horizontal="center" vertical="center"/>
    </xf>
    <xf numFmtId="41" fontId="2" fillId="0" borderId="0" xfId="1" applyFont="1">
      <alignment vertical="center"/>
    </xf>
    <xf numFmtId="41" fontId="4" fillId="0" borderId="1" xfId="1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176" fontId="4" fillId="0" borderId="1" xfId="0" quotePrefix="1" applyNumberFormat="1" applyFont="1" applyBorder="1" applyAlignment="1">
      <alignment horizontal="center" vertical="center" shrinkToFit="1"/>
    </xf>
    <xf numFmtId="0" fontId="3" fillId="3" borderId="0" xfId="0" applyFont="1" applyFill="1">
      <alignment vertical="center"/>
    </xf>
    <xf numFmtId="41" fontId="4" fillId="3" borderId="0" xfId="1" applyFont="1" applyFill="1">
      <alignment vertical="center"/>
    </xf>
    <xf numFmtId="41" fontId="7" fillId="3" borderId="1" xfId="1" quotePrefix="1" applyFont="1" applyFill="1" applyBorder="1" applyAlignment="1">
      <alignment horizontal="center" vertical="center"/>
    </xf>
    <xf numFmtId="41" fontId="5" fillId="3" borderId="1" xfId="1" quotePrefix="1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41" fontId="4" fillId="3" borderId="0" xfId="1" applyFont="1" applyFill="1" applyAlignment="1">
      <alignment horizontal="center" vertical="center"/>
    </xf>
    <xf numFmtId="41" fontId="2" fillId="3" borderId="0" xfId="1" applyFont="1" applyFill="1" applyAlignment="1">
      <alignment horizontal="center" vertical="center"/>
    </xf>
    <xf numFmtId="41" fontId="2" fillId="3" borderId="0" xfId="1" applyFont="1" applyFill="1">
      <alignment vertical="center"/>
    </xf>
    <xf numFmtId="0" fontId="0" fillId="4" borderId="0" xfId="0" applyFill="1">
      <alignment vertical="center"/>
    </xf>
    <xf numFmtId="49" fontId="11" fillId="4" borderId="1" xfId="0" applyNumberFormat="1" applyFont="1" applyFill="1" applyBorder="1">
      <alignment vertical="center"/>
    </xf>
    <xf numFmtId="0" fontId="12" fillId="4" borderId="0" xfId="0" applyFont="1" applyFill="1">
      <alignment vertical="center"/>
    </xf>
    <xf numFmtId="0" fontId="12" fillId="4" borderId="0" xfId="0" applyFont="1" applyFill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 shrinkToFit="1"/>
    </xf>
    <xf numFmtId="177" fontId="4" fillId="0" borderId="1" xfId="0" quotePrefix="1" applyNumberFormat="1" applyFont="1" applyBorder="1" applyAlignment="1">
      <alignment horizontal="center" vertical="center"/>
    </xf>
    <xf numFmtId="41" fontId="5" fillId="3" borderId="1" xfId="1" quotePrefix="1" applyFont="1" applyFill="1" applyBorder="1" applyAlignment="1">
      <alignment horizontal="center" vertical="center" shrinkToFit="1"/>
    </xf>
    <xf numFmtId="176" fontId="9" fillId="0" borderId="1" xfId="0" quotePrefix="1" applyNumberFormat="1" applyFont="1" applyBorder="1" applyAlignment="1">
      <alignment horizontal="center" vertical="center"/>
    </xf>
    <xf numFmtId="13" fontId="10" fillId="3" borderId="1" xfId="1" quotePrefix="1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1" fontId="8" fillId="6" borderId="1" xfId="1" applyFont="1" applyFill="1" applyBorder="1" applyAlignment="1">
      <alignment horizontal="center" vertical="center" shrinkToFit="1"/>
    </xf>
    <xf numFmtId="41" fontId="8" fillId="6" borderId="1" xfId="1" applyFont="1" applyFill="1" applyBorder="1" applyAlignment="1">
      <alignment horizontal="center" vertical="center"/>
    </xf>
    <xf numFmtId="176" fontId="8" fillId="6" borderId="1" xfId="0" quotePrefix="1" applyNumberFormat="1" applyFont="1" applyFill="1" applyBorder="1" applyAlignment="1">
      <alignment horizontal="center" vertical="center"/>
    </xf>
    <xf numFmtId="0" fontId="8" fillId="6" borderId="1" xfId="0" applyFont="1" applyFill="1" applyBorder="1">
      <alignment vertical="center"/>
    </xf>
    <xf numFmtId="41" fontId="8" fillId="6" borderId="1" xfId="1" quotePrefix="1" applyFont="1" applyFill="1" applyBorder="1" applyAlignment="1">
      <alignment horizontal="center" vertical="center" shrinkToFit="1"/>
    </xf>
    <xf numFmtId="41" fontId="4" fillId="0" borderId="1" xfId="1" quotePrefix="1" applyFont="1" applyBorder="1" applyAlignment="1">
      <alignment horizontal="center" vertical="center" shrinkToFit="1"/>
    </xf>
    <xf numFmtId="41" fontId="8" fillId="0" borderId="1" xfId="1" quotePrefix="1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41" fontId="8" fillId="5" borderId="1" xfId="1" applyFont="1" applyFill="1" applyBorder="1" applyAlignment="1">
      <alignment horizontal="center" vertical="center"/>
    </xf>
    <xf numFmtId="0" fontId="8" fillId="5" borderId="1" xfId="0" quotePrefix="1" applyFont="1" applyFill="1" applyBorder="1" applyAlignment="1">
      <alignment horizontal="center" vertical="center"/>
    </xf>
    <xf numFmtId="178" fontId="8" fillId="5" borderId="1" xfId="0" quotePrefix="1" applyNumberFormat="1" applyFont="1" applyFill="1" applyBorder="1" applyAlignment="1">
      <alignment horizontal="center" vertical="center"/>
    </xf>
    <xf numFmtId="41" fontId="8" fillId="5" borderId="1" xfId="1" applyFont="1" applyFill="1" applyBorder="1" applyAlignment="1">
      <alignment horizontal="center" vertical="center" wrapText="1" shrinkToFit="1"/>
    </xf>
    <xf numFmtId="177" fontId="4" fillId="0" borderId="1" xfId="1" quotePrefix="1" applyNumberFormat="1" applyFont="1" applyBorder="1" applyAlignment="1">
      <alignment horizontal="center" vertical="center"/>
    </xf>
    <xf numFmtId="177" fontId="5" fillId="2" borderId="1" xfId="1" quotePrefix="1" applyNumberFormat="1" applyFont="1" applyFill="1" applyBorder="1" applyAlignment="1">
      <alignment horizontal="center" vertical="center" shrinkToFit="1"/>
    </xf>
    <xf numFmtId="177" fontId="7" fillId="0" borderId="1" xfId="1" quotePrefix="1" applyNumberFormat="1" applyFont="1" applyBorder="1" applyAlignment="1">
      <alignment horizontal="center" vertical="center"/>
    </xf>
    <xf numFmtId="177" fontId="7" fillId="2" borderId="1" xfId="1" quotePrefix="1" applyNumberFormat="1" applyFont="1" applyFill="1" applyBorder="1" applyAlignment="1">
      <alignment horizontal="center" vertical="center"/>
    </xf>
    <xf numFmtId="177" fontId="5" fillId="2" borderId="1" xfId="1" quotePrefix="1" applyNumberFormat="1" applyFont="1" applyFill="1" applyBorder="1" applyAlignment="1">
      <alignment horizontal="center" vertical="center"/>
    </xf>
    <xf numFmtId="177" fontId="7" fillId="0" borderId="1" xfId="1" applyNumberFormat="1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41" fontId="4" fillId="5" borderId="1" xfId="1" applyFont="1" applyFill="1" applyBorder="1" applyAlignment="1">
      <alignment horizontal="center" vertical="center"/>
    </xf>
    <xf numFmtId="41" fontId="7" fillId="5" borderId="1" xfId="1" applyFont="1" applyFill="1" applyBorder="1" applyAlignment="1">
      <alignment horizontal="center" vertical="center"/>
    </xf>
    <xf numFmtId="0" fontId="4" fillId="5" borderId="1" xfId="0" applyFont="1" applyFill="1" applyBorder="1">
      <alignment vertical="center"/>
    </xf>
    <xf numFmtId="0" fontId="4" fillId="5" borderId="1" xfId="0" applyFont="1" applyFill="1" applyBorder="1" applyAlignment="1">
      <alignment vertical="center" shrinkToFit="1"/>
    </xf>
    <xf numFmtId="41" fontId="8" fillId="7" borderId="1" xfId="1" quotePrefix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vertical="center" shrinkToFit="1"/>
    </xf>
    <xf numFmtId="0" fontId="10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 shrinkToFit="1"/>
    </xf>
    <xf numFmtId="0" fontId="16" fillId="0" borderId="0" xfId="0" applyFont="1">
      <alignment vertical="center"/>
    </xf>
    <xf numFmtId="0" fontId="16" fillId="0" borderId="0" xfId="0" pivotButton="1" applyFont="1">
      <alignment vertical="center"/>
    </xf>
    <xf numFmtId="0" fontId="16" fillId="0" borderId="0" xfId="0" applyFont="1" applyAlignment="1">
      <alignment horizontal="left" vertical="center"/>
    </xf>
    <xf numFmtId="41" fontId="2" fillId="0" borderId="0" xfId="1" quotePrefix="1" applyFont="1" applyAlignment="1">
      <alignment horizontal="center" vertical="center"/>
    </xf>
    <xf numFmtId="41" fontId="5" fillId="0" borderId="1" xfId="1" quotePrefix="1" applyFont="1" applyBorder="1" applyAlignment="1">
      <alignment horizontal="center" vertical="center" shrinkToFit="1"/>
    </xf>
    <xf numFmtId="41" fontId="17" fillId="0" borderId="1" xfId="1" quotePrefix="1" applyFont="1" applyBorder="1" applyAlignment="1">
      <alignment horizontal="center" vertical="center" shrinkToFit="1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178" fontId="8" fillId="2" borderId="1" xfId="0" quotePrefix="1" applyNumberFormat="1" applyFont="1" applyFill="1" applyBorder="1" applyAlignment="1">
      <alignment horizontal="center" vertical="center"/>
    </xf>
    <xf numFmtId="41" fontId="4" fillId="2" borderId="1" xfId="1" quotePrefix="1" applyFont="1" applyFill="1" applyBorder="1" applyAlignment="1">
      <alignment horizontal="center" vertical="center" shrinkToFit="1"/>
    </xf>
    <xf numFmtId="176" fontId="4" fillId="2" borderId="0" xfId="0" quotePrefix="1" applyNumberFormat="1" applyFont="1" applyFill="1" applyAlignment="1">
      <alignment horizontal="center" vertical="center"/>
    </xf>
    <xf numFmtId="41" fontId="2" fillId="2" borderId="0" xfId="1" quotePrefix="1" applyFont="1" applyFill="1" applyAlignment="1">
      <alignment horizontal="center" vertical="center"/>
    </xf>
    <xf numFmtId="176" fontId="2" fillId="2" borderId="0" xfId="0" quotePrefix="1" applyNumberFormat="1" applyFont="1" applyFill="1" applyAlignment="1">
      <alignment horizontal="center" vertical="center"/>
    </xf>
    <xf numFmtId="0" fontId="2" fillId="2" borderId="0" xfId="0" applyFont="1" applyFill="1">
      <alignment vertical="center"/>
    </xf>
    <xf numFmtId="177" fontId="4" fillId="2" borderId="1" xfId="0" quotePrefix="1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4" fillId="8" borderId="1" xfId="0" applyFont="1" applyFill="1" applyBorder="1" applyAlignment="1">
      <alignment horizontal="left" vertical="center" indent="1" shrinkToFit="1"/>
    </xf>
    <xf numFmtId="0" fontId="4" fillId="8" borderId="1" xfId="0" applyFont="1" applyFill="1" applyBorder="1" applyAlignment="1">
      <alignment horizontal="left" vertical="center" indent="1"/>
    </xf>
    <xf numFmtId="41" fontId="2" fillId="0" borderId="0" xfId="0" applyNumberFormat="1" applyFont="1">
      <alignment vertical="center"/>
    </xf>
    <xf numFmtId="41" fontId="4" fillId="0" borderId="0" xfId="0" applyNumberFormat="1" applyFont="1">
      <alignment vertical="center"/>
    </xf>
    <xf numFmtId="43" fontId="4" fillId="0" borderId="0" xfId="0" applyNumberFormat="1" applyFont="1">
      <alignment vertical="center"/>
    </xf>
    <xf numFmtId="41" fontId="4" fillId="8" borderId="1" xfId="0" quotePrefix="1" applyNumberFormat="1" applyFont="1" applyFill="1" applyBorder="1" applyAlignment="1">
      <alignment vertical="center" wrapText="1"/>
    </xf>
    <xf numFmtId="13" fontId="7" fillId="3" borderId="1" xfId="1" quotePrefix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shrinkToFit="1"/>
    </xf>
    <xf numFmtId="177" fontId="7" fillId="2" borderId="1" xfId="1" quotePrefix="1" applyNumberFormat="1" applyFont="1" applyFill="1" applyBorder="1" applyAlignment="1">
      <alignment horizontal="center" vertical="center" shrinkToFit="1"/>
    </xf>
    <xf numFmtId="41" fontId="17" fillId="2" borderId="1" xfId="1" quotePrefix="1" applyFont="1" applyFill="1" applyBorder="1" applyAlignment="1">
      <alignment horizontal="center" vertical="center" shrinkToFit="1"/>
    </xf>
    <xf numFmtId="176" fontId="5" fillId="0" borderId="1" xfId="0" quotePrefix="1" applyNumberFormat="1" applyFont="1" applyBorder="1" applyAlignment="1">
      <alignment horizontal="center" vertical="center" shrinkToFit="1"/>
    </xf>
    <xf numFmtId="41" fontId="4" fillId="3" borderId="1" xfId="1" quotePrefix="1" applyFont="1" applyFill="1" applyBorder="1" applyAlignment="1">
      <alignment horizontal="center" vertical="center" shrinkToFit="1"/>
    </xf>
    <xf numFmtId="176" fontId="7" fillId="0" borderId="1" xfId="0" quotePrefix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shrinkToFit="1"/>
    </xf>
    <xf numFmtId="0" fontId="7" fillId="0" borderId="1" xfId="0" applyFont="1" applyBorder="1" applyAlignment="1">
      <alignment horizontal="left" vertical="center" shrinkToFit="1"/>
    </xf>
    <xf numFmtId="0" fontId="4" fillId="6" borderId="1" xfId="0" applyFont="1" applyFill="1" applyBorder="1" applyAlignment="1">
      <alignment horizontal="center" vertical="center" shrinkToFit="1"/>
    </xf>
    <xf numFmtId="176" fontId="5" fillId="0" borderId="1" xfId="0" quotePrefix="1" applyNumberFormat="1" applyFont="1" applyBorder="1" applyAlignment="1">
      <alignment horizontal="center" vertical="center"/>
    </xf>
    <xf numFmtId="176" fontId="18" fillId="0" borderId="1" xfId="0" quotePrefix="1" applyNumberFormat="1" applyFont="1" applyBorder="1" applyAlignment="1">
      <alignment horizontal="center" vertical="center"/>
    </xf>
    <xf numFmtId="41" fontId="8" fillId="3" borderId="1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 shrinkToFit="1"/>
    </xf>
    <xf numFmtId="41" fontId="17" fillId="3" borderId="1" xfId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shrinkToFit="1"/>
    </xf>
    <xf numFmtId="41" fontId="7" fillId="5" borderId="1" xfId="1" applyFont="1" applyFill="1" applyBorder="1" applyAlignment="1">
      <alignment horizontal="center" vertical="center" shrinkToFit="1"/>
    </xf>
    <xf numFmtId="177" fontId="7" fillId="0" borderId="1" xfId="1" quotePrefix="1" applyNumberFormat="1" applyFont="1" applyBorder="1" applyAlignment="1">
      <alignment horizontal="center" vertical="center" shrinkToFit="1"/>
    </xf>
    <xf numFmtId="41" fontId="7" fillId="3" borderId="1" xfId="1" applyFont="1" applyFill="1" applyBorder="1" applyAlignment="1">
      <alignment horizontal="center" vertical="center"/>
    </xf>
    <xf numFmtId="177" fontId="10" fillId="0" borderId="1" xfId="1" quotePrefix="1" applyNumberFormat="1" applyFont="1" applyBorder="1" applyAlignment="1">
      <alignment horizontal="center" vertical="center"/>
    </xf>
    <xf numFmtId="13" fontId="4" fillId="3" borderId="1" xfId="1" quotePrefix="1" applyNumberFormat="1" applyFont="1" applyFill="1" applyBorder="1" applyAlignment="1">
      <alignment horizontal="center" vertical="center"/>
    </xf>
    <xf numFmtId="41" fontId="4" fillId="3" borderId="1" xfId="1" quotePrefix="1" applyFont="1" applyFill="1" applyBorder="1" applyAlignment="1">
      <alignment horizontal="center" vertical="center"/>
    </xf>
    <xf numFmtId="41" fontId="19" fillId="5" borderId="1" xfId="1" applyFont="1" applyFill="1" applyBorder="1" applyAlignment="1">
      <alignment horizontal="center" vertical="center"/>
    </xf>
    <xf numFmtId="177" fontId="5" fillId="0" borderId="1" xfId="1" quotePrefix="1" applyNumberFormat="1" applyFont="1" applyFill="1" applyBorder="1" applyAlignment="1">
      <alignment horizontal="center" vertical="center" shrinkToFit="1"/>
    </xf>
    <xf numFmtId="177" fontId="7" fillId="0" borderId="1" xfId="1" quotePrefix="1" applyNumberFormat="1" applyFont="1" applyFill="1" applyBorder="1" applyAlignment="1">
      <alignment horizontal="center" vertical="center" shrinkToFit="1"/>
    </xf>
    <xf numFmtId="177" fontId="7" fillId="0" borderId="1" xfId="1" quotePrefix="1" applyNumberFormat="1" applyFont="1" applyFill="1" applyBorder="1" applyAlignment="1">
      <alignment horizontal="center" vertical="center"/>
    </xf>
    <xf numFmtId="177" fontId="5" fillId="0" borderId="1" xfId="1" quotePrefix="1" applyNumberFormat="1" applyFont="1" applyFill="1" applyBorder="1" applyAlignment="1">
      <alignment horizontal="center" vertical="center"/>
    </xf>
    <xf numFmtId="177" fontId="7" fillId="0" borderId="1" xfId="1" applyNumberFormat="1" applyFont="1" applyFill="1" applyBorder="1" applyAlignment="1">
      <alignment horizontal="center" vertical="center"/>
    </xf>
    <xf numFmtId="177" fontId="18" fillId="0" borderId="1" xfId="1" quotePrefix="1" applyNumberFormat="1" applyFont="1" applyFill="1" applyBorder="1" applyAlignment="1">
      <alignment horizontal="center" vertical="center"/>
    </xf>
    <xf numFmtId="177" fontId="4" fillId="0" borderId="1" xfId="1" quotePrefix="1" applyNumberFormat="1" applyFont="1" applyFill="1" applyBorder="1" applyAlignment="1">
      <alignment horizontal="center" vertical="center"/>
    </xf>
    <xf numFmtId="177" fontId="10" fillId="0" borderId="1" xfId="1" quotePrefix="1" applyNumberFormat="1" applyFont="1" applyFill="1" applyBorder="1" applyAlignment="1">
      <alignment horizontal="center" vertical="center"/>
    </xf>
    <xf numFmtId="177" fontId="4" fillId="0" borderId="1" xfId="1" quotePrefix="1" applyNumberFormat="1" applyFont="1" applyFill="1" applyBorder="1" applyAlignment="1">
      <alignment horizontal="center" vertical="center" shrinkToFit="1"/>
    </xf>
    <xf numFmtId="0" fontId="7" fillId="8" borderId="1" xfId="0" applyFont="1" applyFill="1" applyBorder="1" applyAlignment="1">
      <alignment horizontal="left" vertical="center" indent="1"/>
    </xf>
    <xf numFmtId="41" fontId="7" fillId="3" borderId="1" xfId="1" quotePrefix="1" applyFont="1" applyFill="1" applyBorder="1" applyAlignment="1">
      <alignment horizontal="center" vertical="center" shrinkToFit="1"/>
    </xf>
    <xf numFmtId="41" fontId="10" fillId="3" borderId="1" xfId="1" applyFont="1" applyFill="1" applyBorder="1" applyAlignment="1">
      <alignment horizontal="center" vertical="center"/>
    </xf>
    <xf numFmtId="177" fontId="19" fillId="0" borderId="1" xfId="1" quotePrefix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0" fillId="0" borderId="0" xfId="0" applyFont="1">
      <alignment vertical="center"/>
    </xf>
    <xf numFmtId="3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 wrapText="1"/>
    </xf>
    <xf numFmtId="0" fontId="0" fillId="9" borderId="16" xfId="0" applyFill="1" applyBorder="1" applyAlignment="1">
      <alignment horizontal="center" vertical="center" wrapText="1"/>
    </xf>
    <xf numFmtId="0" fontId="21" fillId="6" borderId="6" xfId="0" applyFont="1" applyFill="1" applyBorder="1" applyAlignment="1">
      <alignment horizontal="center" vertical="center" wrapText="1"/>
    </xf>
    <xf numFmtId="0" fontId="21" fillId="6" borderId="21" xfId="0" applyFont="1" applyFill="1" applyBorder="1" applyAlignment="1">
      <alignment horizontal="center" vertical="center" wrapText="1"/>
    </xf>
    <xf numFmtId="177" fontId="4" fillId="2" borderId="1" xfId="1" quotePrefix="1" applyNumberFormat="1" applyFont="1" applyFill="1" applyBorder="1" applyAlignment="1">
      <alignment horizontal="center" vertical="center" shrinkToFit="1"/>
    </xf>
    <xf numFmtId="0" fontId="22" fillId="0" borderId="0" xfId="0" applyFont="1">
      <alignment vertical="center"/>
    </xf>
    <xf numFmtId="41" fontId="23" fillId="5" borderId="1" xfId="1" applyFont="1" applyFill="1" applyBorder="1" applyAlignment="1">
      <alignment horizontal="center" vertical="center" wrapText="1" shrinkToFit="1"/>
    </xf>
    <xf numFmtId="41" fontId="8" fillId="5" borderId="1" xfId="1" applyFont="1" applyFill="1" applyBorder="1" applyAlignment="1">
      <alignment horizontal="center" vertical="center" shrinkToFit="1"/>
    </xf>
    <xf numFmtId="13" fontId="7" fillId="2" borderId="1" xfId="1" applyNumberFormat="1" applyFont="1" applyFill="1" applyBorder="1" applyAlignment="1">
      <alignment horizontal="center" vertical="center"/>
    </xf>
    <xf numFmtId="177" fontId="4" fillId="3" borderId="1" xfId="0" quotePrefix="1" applyNumberFormat="1" applyFont="1" applyFill="1" applyBorder="1" applyAlignment="1">
      <alignment horizontal="center" vertical="center"/>
    </xf>
    <xf numFmtId="41" fontId="4" fillId="0" borderId="1" xfId="1" applyFont="1" applyFill="1" applyBorder="1" applyAlignment="1">
      <alignment horizontal="center" vertical="center"/>
    </xf>
    <xf numFmtId="41" fontId="4" fillId="0" borderId="1" xfId="1" quotePrefix="1" applyFont="1" applyFill="1" applyBorder="1" applyAlignment="1">
      <alignment horizontal="center" vertical="center"/>
    </xf>
    <xf numFmtId="177" fontId="7" fillId="0" borderId="1" xfId="0" quotePrefix="1" applyNumberFormat="1" applyFont="1" applyBorder="1" applyAlignment="1">
      <alignment horizontal="center" vertical="center"/>
    </xf>
    <xf numFmtId="41" fontId="5" fillId="0" borderId="1" xfId="1" quotePrefix="1" applyFont="1" applyFill="1" applyBorder="1" applyAlignment="1">
      <alignment horizontal="center" vertical="center" shrinkToFit="1"/>
    </xf>
    <xf numFmtId="41" fontId="5" fillId="0" borderId="1" xfId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 wrapText="1"/>
    </xf>
    <xf numFmtId="0" fontId="21" fillId="6" borderId="20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41" fontId="0" fillId="0" borderId="4" xfId="1" applyFont="1" applyBorder="1" applyAlignment="1">
      <alignment horizontal="center" vertical="center"/>
    </xf>
    <xf numFmtId="41" fontId="0" fillId="0" borderId="13" xfId="1" applyFon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  <dxf>
      <font>
        <sz val="10"/>
        <family val="3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urke\Downloads\(260416)&#54588;&#50532;&#54588;_&#45225;&#54408;&#51068;&#51221;_26&#45380;_4&#50900;_1&#51452;~4&#51452;_R3(&#49373;&#49328;&#44592;&#54925;&#54016;)_&#49688;&#51221;2.xlsx" TargetMode="External"/><Relationship Id="rId1" Type="http://schemas.openxmlformats.org/officeDocument/2006/relationships/externalLinkPath" Target="https://d.docs.live.net/Users/turke/Downloads/(260416)&#54588;&#50532;&#54588;_&#45225;&#54408;&#51068;&#51221;_26&#45380;_4&#50900;_1&#51452;~4&#51452;_R3(&#49373;&#49328;&#44592;&#54925;&#54016;)_&#49688;&#51221;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.납품일정"/>
      <sheetName val="II.참조DATA"/>
      <sheetName val="III.재고현황"/>
    </sheetNames>
    <sheetDataSet>
      <sheetData sheetId="0"/>
      <sheetData sheetId="1"/>
      <sheetData sheetId="2">
        <row r="1">
          <cell r="O1" t="str">
            <v>합계 : 재고</v>
          </cell>
        </row>
        <row r="2">
          <cell r="O2" t="str">
            <v>행 레이블</v>
          </cell>
          <cell r="R2" t="str">
            <v>L관창고(자재)</v>
          </cell>
        </row>
        <row r="3">
          <cell r="O3" t="str">
            <v>BS0005</v>
          </cell>
          <cell r="R3">
            <v>1200030</v>
          </cell>
        </row>
        <row r="4">
          <cell r="O4" t="str">
            <v>BS0006</v>
          </cell>
          <cell r="R4">
            <v>100000</v>
          </cell>
        </row>
        <row r="5">
          <cell r="O5" t="str">
            <v>BS0007</v>
          </cell>
          <cell r="R5">
            <v>0</v>
          </cell>
        </row>
        <row r="6">
          <cell r="O6" t="str">
            <v>BS0010</v>
          </cell>
          <cell r="R6">
            <v>0</v>
          </cell>
        </row>
        <row r="7">
          <cell r="O7" t="str">
            <v>BS0011</v>
          </cell>
          <cell r="R7">
            <v>98000</v>
          </cell>
        </row>
        <row r="8">
          <cell r="O8" t="str">
            <v>BS0012</v>
          </cell>
          <cell r="R8">
            <v>0</v>
          </cell>
        </row>
        <row r="9">
          <cell r="O9" t="str">
            <v>BS0013</v>
          </cell>
          <cell r="R9">
            <v>0</v>
          </cell>
        </row>
        <row r="10">
          <cell r="O10" t="str">
            <v>BS0014</v>
          </cell>
          <cell r="R10">
            <v>0</v>
          </cell>
        </row>
        <row r="11">
          <cell r="O11" t="str">
            <v>BS0023</v>
          </cell>
          <cell r="R11">
            <v>0</v>
          </cell>
        </row>
        <row r="12">
          <cell r="O12" t="str">
            <v>BS0031</v>
          </cell>
          <cell r="R12">
            <v>48000</v>
          </cell>
        </row>
        <row r="13">
          <cell r="O13" t="str">
            <v>BS0032</v>
          </cell>
          <cell r="R13">
            <v>0</v>
          </cell>
        </row>
        <row r="14">
          <cell r="O14" t="str">
            <v>BS0033</v>
          </cell>
          <cell r="R14">
            <v>0</v>
          </cell>
        </row>
        <row r="15">
          <cell r="O15" t="str">
            <v>BS0034</v>
          </cell>
          <cell r="R15">
            <v>0</v>
          </cell>
        </row>
        <row r="16">
          <cell r="O16" t="str">
            <v>BS0036</v>
          </cell>
          <cell r="R16">
            <v>1115000</v>
          </cell>
        </row>
        <row r="17">
          <cell r="O17" t="str">
            <v>BS0037</v>
          </cell>
          <cell r="R17">
            <v>0</v>
          </cell>
        </row>
        <row r="18">
          <cell r="O18" t="str">
            <v>BS0038</v>
          </cell>
          <cell r="R18">
            <v>62553</v>
          </cell>
        </row>
        <row r="19">
          <cell r="O19" t="str">
            <v>BS0039</v>
          </cell>
          <cell r="R19">
            <v>259200</v>
          </cell>
        </row>
        <row r="20">
          <cell r="O20" t="str">
            <v>BS0040</v>
          </cell>
          <cell r="R20">
            <v>0</v>
          </cell>
        </row>
        <row r="21">
          <cell r="O21" t="str">
            <v>BS0041</v>
          </cell>
          <cell r="R21">
            <v>0</v>
          </cell>
        </row>
        <row r="22">
          <cell r="O22" t="str">
            <v>BS0043</v>
          </cell>
          <cell r="R22">
            <v>0</v>
          </cell>
        </row>
        <row r="23">
          <cell r="O23" t="str">
            <v>BS0044</v>
          </cell>
          <cell r="R23">
            <v>0</v>
          </cell>
        </row>
        <row r="24">
          <cell r="O24" t="str">
            <v>BS0045</v>
          </cell>
          <cell r="R24">
            <v>0</v>
          </cell>
        </row>
        <row r="25">
          <cell r="O25" t="str">
            <v>BS0046</v>
          </cell>
          <cell r="R25">
            <v>0</v>
          </cell>
        </row>
        <row r="26">
          <cell r="O26" t="str">
            <v>BS0048</v>
          </cell>
          <cell r="R26">
            <v>96000</v>
          </cell>
        </row>
        <row r="27">
          <cell r="O27" t="str">
            <v>BS0049</v>
          </cell>
          <cell r="R27">
            <v>46000</v>
          </cell>
        </row>
        <row r="28">
          <cell r="O28" t="str">
            <v>BS0050</v>
          </cell>
          <cell r="R28">
            <v>775000</v>
          </cell>
        </row>
        <row r="29">
          <cell r="O29" t="str">
            <v>BS0051</v>
          </cell>
          <cell r="R29">
            <v>0</v>
          </cell>
        </row>
        <row r="30">
          <cell r="O30" t="str">
            <v>BS0052</v>
          </cell>
          <cell r="R30">
            <v>480000</v>
          </cell>
        </row>
        <row r="31">
          <cell r="O31" t="str">
            <v>BS0053</v>
          </cell>
          <cell r="R31">
            <v>3829000</v>
          </cell>
        </row>
        <row r="32">
          <cell r="O32" t="str">
            <v>BS0054</v>
          </cell>
          <cell r="R32">
            <v>0</v>
          </cell>
        </row>
        <row r="33">
          <cell r="O33" t="str">
            <v>BS0055</v>
          </cell>
          <cell r="R33">
            <v>0</v>
          </cell>
        </row>
        <row r="34">
          <cell r="O34" t="str">
            <v>BS0057</v>
          </cell>
          <cell r="R34">
            <v>539000</v>
          </cell>
        </row>
        <row r="35">
          <cell r="O35" t="str">
            <v>BS0058</v>
          </cell>
          <cell r="R35">
            <v>0</v>
          </cell>
        </row>
        <row r="36">
          <cell r="O36" t="str">
            <v>BS0059</v>
          </cell>
          <cell r="R36">
            <v>389000</v>
          </cell>
        </row>
        <row r="37">
          <cell r="O37" t="str">
            <v>BS0060</v>
          </cell>
          <cell r="R37">
            <v>0</v>
          </cell>
        </row>
        <row r="38">
          <cell r="O38" t="str">
            <v>BS0061</v>
          </cell>
          <cell r="R38">
            <v>0</v>
          </cell>
        </row>
        <row r="39">
          <cell r="O39" t="str">
            <v>BS0062</v>
          </cell>
          <cell r="R39">
            <v>95000</v>
          </cell>
        </row>
        <row r="40">
          <cell r="O40" t="str">
            <v>BS0063</v>
          </cell>
          <cell r="R40">
            <v>0</v>
          </cell>
        </row>
        <row r="41">
          <cell r="O41" t="str">
            <v>BS0064</v>
          </cell>
          <cell r="R41">
            <v>287235</v>
          </cell>
        </row>
        <row r="42">
          <cell r="O42" t="str">
            <v>BS0065</v>
          </cell>
          <cell r="R42">
            <v>144000</v>
          </cell>
        </row>
        <row r="43">
          <cell r="O43" t="str">
            <v>BS0066</v>
          </cell>
          <cell r="R43">
            <v>0</v>
          </cell>
        </row>
        <row r="44">
          <cell r="O44" t="str">
            <v>BS0068</v>
          </cell>
          <cell r="R44">
            <v>0</v>
          </cell>
        </row>
        <row r="45">
          <cell r="O45" t="str">
            <v>BS0069</v>
          </cell>
          <cell r="R45">
            <v>0</v>
          </cell>
        </row>
        <row r="46">
          <cell r="O46" t="str">
            <v>BS0070</v>
          </cell>
          <cell r="R46">
            <v>0</v>
          </cell>
        </row>
        <row r="47">
          <cell r="O47" t="str">
            <v>BS0072</v>
          </cell>
          <cell r="R47">
            <v>0</v>
          </cell>
        </row>
        <row r="48">
          <cell r="O48" t="str">
            <v>BS0073</v>
          </cell>
          <cell r="R48">
            <v>1077000</v>
          </cell>
        </row>
        <row r="49">
          <cell r="O49" t="str">
            <v>BS0074</v>
          </cell>
          <cell r="R49">
            <v>578000</v>
          </cell>
        </row>
        <row r="50">
          <cell r="O50" t="str">
            <v>BS0075</v>
          </cell>
          <cell r="R50">
            <v>0</v>
          </cell>
        </row>
        <row r="51">
          <cell r="O51" t="str">
            <v>BS0076</v>
          </cell>
          <cell r="R51">
            <v>0</v>
          </cell>
        </row>
        <row r="52">
          <cell r="O52" t="str">
            <v>BS0077</v>
          </cell>
          <cell r="R52">
            <v>0</v>
          </cell>
        </row>
        <row r="53">
          <cell r="O53" t="str">
            <v>BS0078</v>
          </cell>
          <cell r="R53">
            <v>0</v>
          </cell>
        </row>
        <row r="54">
          <cell r="O54" t="str">
            <v>BS0079</v>
          </cell>
          <cell r="R54">
            <v>0</v>
          </cell>
        </row>
        <row r="55">
          <cell r="O55" t="str">
            <v>BS0080</v>
          </cell>
          <cell r="R55">
            <v>0</v>
          </cell>
        </row>
        <row r="56">
          <cell r="O56" t="str">
            <v>BS0081</v>
          </cell>
          <cell r="R56">
            <v>0</v>
          </cell>
        </row>
        <row r="57">
          <cell r="O57" t="str">
            <v>BS0082</v>
          </cell>
          <cell r="R57">
            <v>0</v>
          </cell>
        </row>
        <row r="58">
          <cell r="O58" t="str">
            <v>BS0083</v>
          </cell>
          <cell r="R58">
            <v>258000</v>
          </cell>
        </row>
        <row r="59">
          <cell r="O59" t="str">
            <v>BS0084</v>
          </cell>
          <cell r="R59">
            <v>290000</v>
          </cell>
        </row>
        <row r="60">
          <cell r="O60" t="str">
            <v>BS0085</v>
          </cell>
          <cell r="R60">
            <v>300000</v>
          </cell>
        </row>
        <row r="61">
          <cell r="O61" t="str">
            <v>BS0086</v>
          </cell>
          <cell r="R61">
            <v>0</v>
          </cell>
        </row>
        <row r="62">
          <cell r="O62" t="str">
            <v>BS0089</v>
          </cell>
          <cell r="R62">
            <v>0</v>
          </cell>
        </row>
        <row r="63">
          <cell r="O63" t="str">
            <v>BS0090</v>
          </cell>
          <cell r="R63">
            <v>340000</v>
          </cell>
        </row>
        <row r="64">
          <cell r="O64" t="str">
            <v>BS0091</v>
          </cell>
          <cell r="R64">
            <v>384000</v>
          </cell>
        </row>
        <row r="65">
          <cell r="O65" t="str">
            <v>BS0093</v>
          </cell>
          <cell r="R65">
            <v>41000</v>
          </cell>
        </row>
        <row r="66">
          <cell r="O66" t="str">
            <v>BS0094</v>
          </cell>
          <cell r="R66">
            <v>0</v>
          </cell>
        </row>
        <row r="67">
          <cell r="O67" t="str">
            <v>BS0095</v>
          </cell>
          <cell r="R67">
            <v>528000</v>
          </cell>
        </row>
        <row r="68">
          <cell r="O68" t="str">
            <v>BS0098</v>
          </cell>
          <cell r="R68">
            <v>0</v>
          </cell>
        </row>
        <row r="69">
          <cell r="O69" t="str">
            <v>BS0099</v>
          </cell>
          <cell r="R69">
            <v>0</v>
          </cell>
        </row>
        <row r="70">
          <cell r="O70" t="str">
            <v>BS0100</v>
          </cell>
          <cell r="R70">
            <v>48000</v>
          </cell>
        </row>
        <row r="71">
          <cell r="O71" t="str">
            <v>BS0101</v>
          </cell>
          <cell r="R71">
            <v>144000</v>
          </cell>
        </row>
        <row r="72">
          <cell r="O72" t="str">
            <v>BS0102</v>
          </cell>
          <cell r="R72">
            <v>131000</v>
          </cell>
        </row>
        <row r="73">
          <cell r="O73" t="str">
            <v>BS0103</v>
          </cell>
          <cell r="R73">
            <v>0</v>
          </cell>
        </row>
        <row r="74">
          <cell r="O74" t="str">
            <v>BS0104</v>
          </cell>
          <cell r="R74">
            <v>0</v>
          </cell>
        </row>
        <row r="75">
          <cell r="O75" t="str">
            <v>BS0105</v>
          </cell>
          <cell r="R75">
            <v>0</v>
          </cell>
        </row>
        <row r="76">
          <cell r="O76" t="str">
            <v>BS0107</v>
          </cell>
          <cell r="R76">
            <v>295000</v>
          </cell>
        </row>
        <row r="77">
          <cell r="O77" t="str">
            <v>BS0108</v>
          </cell>
          <cell r="R77">
            <v>283000</v>
          </cell>
        </row>
        <row r="78">
          <cell r="O78" t="str">
            <v>BS0109</v>
          </cell>
          <cell r="R78">
            <v>291000</v>
          </cell>
        </row>
        <row r="79">
          <cell r="O79" t="str">
            <v>BS0110</v>
          </cell>
          <cell r="R79">
            <v>0</v>
          </cell>
        </row>
        <row r="80">
          <cell r="O80" t="str">
            <v>BS0111</v>
          </cell>
          <cell r="R80">
            <v>299000</v>
          </cell>
        </row>
        <row r="81">
          <cell r="O81" t="str">
            <v>BS0112</v>
          </cell>
          <cell r="R81">
            <v>156000</v>
          </cell>
        </row>
        <row r="82">
          <cell r="O82" t="str">
            <v>BS0113</v>
          </cell>
          <cell r="R82">
            <v>0</v>
          </cell>
        </row>
        <row r="83">
          <cell r="O83" t="str">
            <v>BS0114</v>
          </cell>
          <cell r="R83">
            <v>0</v>
          </cell>
        </row>
        <row r="84">
          <cell r="O84" t="str">
            <v>BS0115</v>
          </cell>
          <cell r="R84">
            <v>835000</v>
          </cell>
        </row>
        <row r="85">
          <cell r="O85" t="str">
            <v>BS0116</v>
          </cell>
          <cell r="R85">
            <v>2229000</v>
          </cell>
        </row>
        <row r="86">
          <cell r="O86" t="str">
            <v>BS0117</v>
          </cell>
          <cell r="R86">
            <v>50000</v>
          </cell>
        </row>
        <row r="87">
          <cell r="O87" t="str">
            <v>BS0118</v>
          </cell>
          <cell r="R87">
            <v>41000</v>
          </cell>
        </row>
        <row r="88">
          <cell r="O88" t="str">
            <v>BS0119</v>
          </cell>
          <cell r="R88">
            <v>48000</v>
          </cell>
        </row>
        <row r="89">
          <cell r="O89" t="str">
            <v>BS0120</v>
          </cell>
          <cell r="R89">
            <v>96000</v>
          </cell>
        </row>
        <row r="90">
          <cell r="O90" t="str">
            <v>BS0121</v>
          </cell>
          <cell r="R90">
            <v>192000</v>
          </cell>
        </row>
        <row r="91">
          <cell r="O91" t="str">
            <v>BS0123</v>
          </cell>
          <cell r="R91">
            <v>0</v>
          </cell>
        </row>
        <row r="92">
          <cell r="O92" t="str">
            <v>BS0124</v>
          </cell>
          <cell r="R92">
            <v>0</v>
          </cell>
        </row>
        <row r="93">
          <cell r="O93" t="str">
            <v>BS0125</v>
          </cell>
          <cell r="R93">
            <v>0</v>
          </cell>
        </row>
        <row r="94">
          <cell r="O94" t="str">
            <v>BS0126</v>
          </cell>
          <cell r="R94">
            <v>0</v>
          </cell>
        </row>
        <row r="95">
          <cell r="O95" t="str">
            <v>BS0127</v>
          </cell>
          <cell r="R95">
            <v>389000</v>
          </cell>
        </row>
        <row r="96">
          <cell r="O96" t="str">
            <v>BS0128</v>
          </cell>
          <cell r="R96">
            <v>0</v>
          </cell>
        </row>
        <row r="97">
          <cell r="O97" t="str">
            <v>BS0129</v>
          </cell>
          <cell r="R97">
            <v>0</v>
          </cell>
        </row>
        <row r="98">
          <cell r="O98" t="str">
            <v>BS0132</v>
          </cell>
          <cell r="R98">
            <v>432000</v>
          </cell>
        </row>
        <row r="99">
          <cell r="O99" t="str">
            <v>BS0133</v>
          </cell>
          <cell r="R99">
            <v>192000</v>
          </cell>
        </row>
        <row r="100">
          <cell r="O100" t="str">
            <v>BS0134</v>
          </cell>
          <cell r="R100">
            <v>453000</v>
          </cell>
        </row>
        <row r="101">
          <cell r="O101" t="str">
            <v>BS0138</v>
          </cell>
          <cell r="R101">
            <v>48000</v>
          </cell>
        </row>
        <row r="102">
          <cell r="O102" t="str">
            <v>BS0141</v>
          </cell>
          <cell r="R102">
            <v>96000</v>
          </cell>
        </row>
        <row r="103">
          <cell r="O103" t="str">
            <v>BS0142</v>
          </cell>
          <cell r="R103">
            <v>0</v>
          </cell>
        </row>
        <row r="104">
          <cell r="O104" t="str">
            <v>BS0145</v>
          </cell>
          <cell r="R104">
            <v>94000</v>
          </cell>
        </row>
        <row r="105">
          <cell r="O105" t="str">
            <v>BS0146</v>
          </cell>
          <cell r="R105">
            <v>218000</v>
          </cell>
        </row>
        <row r="106">
          <cell r="O106" t="str">
            <v>BS0147</v>
          </cell>
          <cell r="R106">
            <v>0</v>
          </cell>
        </row>
        <row r="107">
          <cell r="O107" t="str">
            <v>BS0149</v>
          </cell>
          <cell r="R107">
            <v>2473000</v>
          </cell>
        </row>
        <row r="108">
          <cell r="O108" t="str">
            <v>BS0150</v>
          </cell>
          <cell r="R108">
            <v>44000</v>
          </cell>
        </row>
        <row r="109">
          <cell r="O109" t="str">
            <v>BS0151</v>
          </cell>
          <cell r="R109">
            <v>50000</v>
          </cell>
        </row>
        <row r="110">
          <cell r="O110" t="str">
            <v>BS0154</v>
          </cell>
          <cell r="R110">
            <v>0</v>
          </cell>
        </row>
        <row r="111">
          <cell r="O111" t="str">
            <v>BS0155</v>
          </cell>
          <cell r="R111">
            <v>335000</v>
          </cell>
        </row>
        <row r="112">
          <cell r="O112" t="str">
            <v>BS0156</v>
          </cell>
          <cell r="R112">
            <v>0</v>
          </cell>
        </row>
        <row r="113">
          <cell r="O113" t="str">
            <v>BS0159</v>
          </cell>
          <cell r="R113">
            <v>576000</v>
          </cell>
        </row>
        <row r="114">
          <cell r="O114" t="str">
            <v>BS0160</v>
          </cell>
          <cell r="R114">
            <v>0</v>
          </cell>
        </row>
        <row r="115">
          <cell r="O115" t="str">
            <v>BS0161</v>
          </cell>
          <cell r="R115">
            <v>0</v>
          </cell>
        </row>
        <row r="116">
          <cell r="O116" t="str">
            <v>BS0162</v>
          </cell>
          <cell r="R116">
            <v>97000</v>
          </cell>
        </row>
        <row r="117">
          <cell r="O117" t="str">
            <v>BS0163</v>
          </cell>
          <cell r="R117">
            <v>0</v>
          </cell>
        </row>
        <row r="118">
          <cell r="O118" t="str">
            <v>BS0164</v>
          </cell>
          <cell r="R118">
            <v>0</v>
          </cell>
        </row>
        <row r="119">
          <cell r="O119" t="str">
            <v>BS0166</v>
          </cell>
          <cell r="R119">
            <v>95000</v>
          </cell>
        </row>
        <row r="120">
          <cell r="O120" t="str">
            <v>BS0169</v>
          </cell>
          <cell r="R120">
            <v>2875000</v>
          </cell>
        </row>
        <row r="121">
          <cell r="O121" t="str">
            <v>BS0170</v>
          </cell>
          <cell r="R121">
            <v>96000</v>
          </cell>
        </row>
        <row r="122">
          <cell r="O122" t="str">
            <v>BS0172</v>
          </cell>
          <cell r="R122">
            <v>50000</v>
          </cell>
        </row>
        <row r="123">
          <cell r="O123" t="str">
            <v>BS0173</v>
          </cell>
          <cell r="R123">
            <v>204000</v>
          </cell>
        </row>
        <row r="124">
          <cell r="O124" t="str">
            <v>BS0175</v>
          </cell>
          <cell r="R124">
            <v>0</v>
          </cell>
        </row>
        <row r="125">
          <cell r="O125" t="str">
            <v>BS0176</v>
          </cell>
          <cell r="R125">
            <v>240000</v>
          </cell>
        </row>
        <row r="126">
          <cell r="O126" t="str">
            <v>BS0178</v>
          </cell>
          <cell r="R126">
            <v>191000</v>
          </cell>
        </row>
        <row r="127">
          <cell r="O127" t="str">
            <v>BS0179</v>
          </cell>
          <cell r="R127">
            <v>104000</v>
          </cell>
        </row>
        <row r="128">
          <cell r="O128" t="str">
            <v>BS0181</v>
          </cell>
          <cell r="R128">
            <v>48000</v>
          </cell>
        </row>
        <row r="129">
          <cell r="O129" t="str">
            <v>BS0182</v>
          </cell>
          <cell r="R129">
            <v>54930</v>
          </cell>
        </row>
        <row r="130">
          <cell r="O130" t="str">
            <v>BS0183</v>
          </cell>
          <cell r="R130">
            <v>47000</v>
          </cell>
        </row>
        <row r="131">
          <cell r="O131" t="str">
            <v>BS0184</v>
          </cell>
          <cell r="R131">
            <v>69000</v>
          </cell>
        </row>
        <row r="132">
          <cell r="O132" t="str">
            <v>BS0185</v>
          </cell>
          <cell r="R132">
            <v>100000</v>
          </cell>
        </row>
        <row r="133">
          <cell r="O133" t="str">
            <v>BS0187</v>
          </cell>
          <cell r="R133">
            <v>146000</v>
          </cell>
        </row>
        <row r="134">
          <cell r="O134" t="str">
            <v>BS0189</v>
          </cell>
          <cell r="R134">
            <v>0</v>
          </cell>
        </row>
        <row r="135">
          <cell r="O135" t="str">
            <v>BS0191</v>
          </cell>
          <cell r="R135">
            <v>260000</v>
          </cell>
        </row>
        <row r="136">
          <cell r="O136" t="str">
            <v>BS0192</v>
          </cell>
          <cell r="R136">
            <v>570000</v>
          </cell>
        </row>
        <row r="137">
          <cell r="O137" t="str">
            <v>BS0193</v>
          </cell>
          <cell r="R137">
            <v>48000</v>
          </cell>
        </row>
        <row r="138">
          <cell r="O138" t="str">
            <v>BS0195</v>
          </cell>
          <cell r="R138">
            <v>0</v>
          </cell>
        </row>
        <row r="139">
          <cell r="O139" t="str">
            <v>BS0196</v>
          </cell>
          <cell r="R139">
            <v>0</v>
          </cell>
        </row>
        <row r="140">
          <cell r="O140" t="str">
            <v>BS0197</v>
          </cell>
          <cell r="R140">
            <v>0</v>
          </cell>
        </row>
        <row r="141">
          <cell r="O141" t="str">
            <v>BS0198</v>
          </cell>
          <cell r="R141">
            <v>192000</v>
          </cell>
        </row>
        <row r="142">
          <cell r="O142" t="str">
            <v>BS0201</v>
          </cell>
          <cell r="R142">
            <v>92000</v>
          </cell>
        </row>
        <row r="143">
          <cell r="O143" t="str">
            <v>BS0202</v>
          </cell>
          <cell r="R143">
            <v>0</v>
          </cell>
        </row>
        <row r="144">
          <cell r="O144" t="str">
            <v>BS0204</v>
          </cell>
          <cell r="R144">
            <v>240000</v>
          </cell>
        </row>
        <row r="145">
          <cell r="O145" t="str">
            <v>BS0205</v>
          </cell>
          <cell r="R145">
            <v>143000</v>
          </cell>
        </row>
        <row r="146">
          <cell r="O146" t="str">
            <v>BS0206</v>
          </cell>
          <cell r="R146">
            <v>0</v>
          </cell>
        </row>
        <row r="147">
          <cell r="O147" t="str">
            <v>BS0207</v>
          </cell>
          <cell r="R147">
            <v>437400</v>
          </cell>
        </row>
        <row r="148">
          <cell r="O148" t="str">
            <v>BS0208</v>
          </cell>
          <cell r="R148">
            <v>97000</v>
          </cell>
        </row>
        <row r="149">
          <cell r="O149" t="str">
            <v>BS0209</v>
          </cell>
          <cell r="R149">
            <v>92000</v>
          </cell>
        </row>
        <row r="150">
          <cell r="O150" t="str">
            <v>BS0210</v>
          </cell>
          <cell r="R150">
            <v>158303</v>
          </cell>
        </row>
        <row r="151">
          <cell r="O151" t="str">
            <v>BS0212</v>
          </cell>
          <cell r="R151">
            <v>0</v>
          </cell>
        </row>
        <row r="152">
          <cell r="O152" t="str">
            <v>BS0213</v>
          </cell>
          <cell r="R152">
            <v>0</v>
          </cell>
        </row>
        <row r="153">
          <cell r="O153" t="str">
            <v>BS0214</v>
          </cell>
          <cell r="R153">
            <v>241000</v>
          </cell>
        </row>
        <row r="154">
          <cell r="O154" t="str">
            <v>BS0215</v>
          </cell>
          <cell r="R154">
            <v>0</v>
          </cell>
        </row>
        <row r="155">
          <cell r="O155" t="str">
            <v>BS0216</v>
          </cell>
          <cell r="R155">
            <v>50000</v>
          </cell>
        </row>
        <row r="156">
          <cell r="O156" t="str">
            <v>BS0217</v>
          </cell>
          <cell r="R156">
            <v>100000</v>
          </cell>
        </row>
        <row r="157">
          <cell r="O157" t="str">
            <v>BS0219</v>
          </cell>
          <cell r="R157">
            <v>134368</v>
          </cell>
        </row>
        <row r="158">
          <cell r="O158" t="str">
            <v>BS0220</v>
          </cell>
          <cell r="R158">
            <v>100000</v>
          </cell>
        </row>
        <row r="159">
          <cell r="O159" t="str">
            <v>BS0223</v>
          </cell>
          <cell r="R159">
            <v>212000</v>
          </cell>
        </row>
        <row r="160">
          <cell r="O160" t="str">
            <v>BS0224</v>
          </cell>
          <cell r="R160">
            <v>218800</v>
          </cell>
        </row>
        <row r="161">
          <cell r="O161" t="str">
            <v>BS0226</v>
          </cell>
          <cell r="R161">
            <v>0</v>
          </cell>
        </row>
        <row r="162">
          <cell r="O162" t="str">
            <v>BS0227</v>
          </cell>
          <cell r="R162">
            <v>0</v>
          </cell>
        </row>
        <row r="163">
          <cell r="O163" t="str">
            <v>BS0228</v>
          </cell>
          <cell r="R163">
            <v>1044000</v>
          </cell>
        </row>
        <row r="164">
          <cell r="O164" t="str">
            <v>BS0229</v>
          </cell>
          <cell r="R164">
            <v>232000</v>
          </cell>
        </row>
        <row r="165">
          <cell r="O165" t="str">
            <v>BS0230</v>
          </cell>
          <cell r="R165">
            <v>479000</v>
          </cell>
        </row>
        <row r="166">
          <cell r="O166" t="str">
            <v>BS0231</v>
          </cell>
          <cell r="R166">
            <v>235000</v>
          </cell>
        </row>
        <row r="167">
          <cell r="O167" t="str">
            <v>BS0233</v>
          </cell>
          <cell r="R167">
            <v>0</v>
          </cell>
        </row>
        <row r="168">
          <cell r="O168" t="str">
            <v>BS0235</v>
          </cell>
          <cell r="R168">
            <v>1279000</v>
          </cell>
        </row>
        <row r="169">
          <cell r="O169" t="str">
            <v>BS0238</v>
          </cell>
          <cell r="R169">
            <v>249000</v>
          </cell>
        </row>
        <row r="170">
          <cell r="O170" t="str">
            <v>BS0241</v>
          </cell>
          <cell r="R170">
            <v>431000</v>
          </cell>
        </row>
        <row r="171">
          <cell r="O171" t="str">
            <v>BS0242</v>
          </cell>
          <cell r="R171">
            <v>144000</v>
          </cell>
        </row>
        <row r="172">
          <cell r="O172" t="str">
            <v>BS0243</v>
          </cell>
          <cell r="R172">
            <v>0</v>
          </cell>
        </row>
        <row r="173">
          <cell r="O173" t="str">
            <v>BS0244</v>
          </cell>
          <cell r="R173">
            <v>0</v>
          </cell>
        </row>
        <row r="174">
          <cell r="O174" t="str">
            <v>BS0245</v>
          </cell>
          <cell r="R174">
            <v>131000</v>
          </cell>
        </row>
        <row r="175">
          <cell r="O175" t="str">
            <v>BS0246</v>
          </cell>
          <cell r="R175">
            <v>208000</v>
          </cell>
        </row>
        <row r="176">
          <cell r="O176" t="str">
            <v>BS0248</v>
          </cell>
          <cell r="R176">
            <v>96000</v>
          </cell>
        </row>
        <row r="177">
          <cell r="O177" t="str">
            <v>BS0250</v>
          </cell>
          <cell r="R177">
            <v>0</v>
          </cell>
        </row>
        <row r="178">
          <cell r="O178" t="str">
            <v>BS0252</v>
          </cell>
          <cell r="R178">
            <v>74925</v>
          </cell>
        </row>
        <row r="179">
          <cell r="O179" t="str">
            <v>BS0253</v>
          </cell>
          <cell r="R179">
            <v>194000</v>
          </cell>
        </row>
        <row r="180">
          <cell r="O180" t="str">
            <v>BS0254</v>
          </cell>
          <cell r="R180">
            <v>0</v>
          </cell>
        </row>
        <row r="181">
          <cell r="O181" t="str">
            <v>BS0255</v>
          </cell>
          <cell r="R181">
            <v>0</v>
          </cell>
        </row>
        <row r="182">
          <cell r="O182" t="str">
            <v>BS0257</v>
          </cell>
          <cell r="R182">
            <v>28800</v>
          </cell>
        </row>
        <row r="183">
          <cell r="O183" t="str">
            <v>BS0259</v>
          </cell>
          <cell r="R183">
            <v>192000</v>
          </cell>
        </row>
        <row r="184">
          <cell r="O184" t="str">
            <v>BS0260</v>
          </cell>
          <cell r="R184">
            <v>241000</v>
          </cell>
        </row>
        <row r="185">
          <cell r="O185" t="str">
            <v>BS0261</v>
          </cell>
          <cell r="R185">
            <v>459000</v>
          </cell>
        </row>
        <row r="186">
          <cell r="O186" t="str">
            <v>BS0263</v>
          </cell>
          <cell r="R186">
            <v>0</v>
          </cell>
        </row>
        <row r="187">
          <cell r="O187" t="str">
            <v>BS0264</v>
          </cell>
          <cell r="R187">
            <v>138000</v>
          </cell>
        </row>
        <row r="188">
          <cell r="O188" t="str">
            <v>BS0265</v>
          </cell>
          <cell r="R188">
            <v>201600</v>
          </cell>
        </row>
        <row r="189">
          <cell r="O189" t="str">
            <v>BS0266</v>
          </cell>
          <cell r="R189">
            <v>119238</v>
          </cell>
        </row>
        <row r="190">
          <cell r="O190" t="str">
            <v>BS0270</v>
          </cell>
          <cell r="R190">
            <v>163200</v>
          </cell>
        </row>
        <row r="191">
          <cell r="O191" t="str">
            <v>BS0271</v>
          </cell>
          <cell r="R191">
            <v>142370</v>
          </cell>
        </row>
        <row r="192">
          <cell r="O192" t="str">
            <v>BS0272</v>
          </cell>
          <cell r="R192">
            <v>137863</v>
          </cell>
        </row>
        <row r="193">
          <cell r="O193" t="str">
            <v>BS0273</v>
          </cell>
          <cell r="R193">
            <v>192000</v>
          </cell>
        </row>
        <row r="194">
          <cell r="O194" t="str">
            <v>BS0274</v>
          </cell>
          <cell r="R194">
            <v>66550</v>
          </cell>
        </row>
        <row r="195">
          <cell r="O195" t="str">
            <v>BS0275</v>
          </cell>
          <cell r="R195">
            <v>42400</v>
          </cell>
        </row>
        <row r="196">
          <cell r="O196" t="str">
            <v>BS0278</v>
          </cell>
          <cell r="R196">
            <v>484000</v>
          </cell>
        </row>
        <row r="197">
          <cell r="O197" t="str">
            <v>BS0279</v>
          </cell>
          <cell r="R197">
            <v>0</v>
          </cell>
        </row>
        <row r="198">
          <cell r="O198" t="str">
            <v>BS0280</v>
          </cell>
          <cell r="R198">
            <v>296000</v>
          </cell>
        </row>
        <row r="199">
          <cell r="O199" t="str">
            <v>BS0281</v>
          </cell>
          <cell r="R199">
            <v>388000</v>
          </cell>
        </row>
        <row r="200">
          <cell r="O200" t="str">
            <v>BS0284</v>
          </cell>
          <cell r="R200">
            <v>424000</v>
          </cell>
        </row>
        <row r="201">
          <cell r="O201" t="str">
            <v>BS0285</v>
          </cell>
          <cell r="R201">
            <v>288000</v>
          </cell>
        </row>
        <row r="202">
          <cell r="O202" t="str">
            <v>BS0286</v>
          </cell>
          <cell r="R202">
            <v>139000</v>
          </cell>
        </row>
        <row r="203">
          <cell r="O203" t="str">
            <v>BS0287</v>
          </cell>
          <cell r="R203">
            <v>96000</v>
          </cell>
        </row>
        <row r="204">
          <cell r="O204" t="str">
            <v>BS0288</v>
          </cell>
          <cell r="R204">
            <v>139000</v>
          </cell>
        </row>
        <row r="205">
          <cell r="O205" t="str">
            <v>BS0299</v>
          </cell>
          <cell r="R205">
            <v>356000</v>
          </cell>
        </row>
        <row r="206">
          <cell r="O206" t="str">
            <v>BS0300</v>
          </cell>
          <cell r="R206">
            <v>281000</v>
          </cell>
        </row>
        <row r="207">
          <cell r="O207" t="str">
            <v>BS0304</v>
          </cell>
          <cell r="R207">
            <v>384000</v>
          </cell>
        </row>
        <row r="208">
          <cell r="O208" t="str">
            <v>BS0305</v>
          </cell>
          <cell r="R208">
            <v>370000</v>
          </cell>
        </row>
        <row r="209">
          <cell r="O209" t="str">
            <v>BS0306</v>
          </cell>
          <cell r="R209">
            <v>397000</v>
          </cell>
        </row>
        <row r="210">
          <cell r="O210" t="str">
            <v>BS0307</v>
          </cell>
          <cell r="R210">
            <v>384000</v>
          </cell>
        </row>
        <row r="211">
          <cell r="O211" t="str">
            <v>BS0308</v>
          </cell>
          <cell r="R211">
            <v>337000</v>
          </cell>
        </row>
        <row r="212">
          <cell r="O212" t="str">
            <v>BS0309</v>
          </cell>
          <cell r="R212">
            <v>2015000</v>
          </cell>
        </row>
        <row r="213">
          <cell r="O213" t="str">
            <v>BS0315</v>
          </cell>
          <cell r="R213">
            <v>96000</v>
          </cell>
        </row>
        <row r="214">
          <cell r="O214" t="str">
            <v>BS0316</v>
          </cell>
          <cell r="R214">
            <v>192000</v>
          </cell>
        </row>
        <row r="215">
          <cell r="O215" t="str">
            <v>BS0317</v>
          </cell>
          <cell r="R215">
            <v>202000</v>
          </cell>
        </row>
        <row r="216">
          <cell r="O216" t="str">
            <v>BS0331</v>
          </cell>
          <cell r="R216">
            <v>48000</v>
          </cell>
        </row>
        <row r="217">
          <cell r="O217" t="str">
            <v>BS0332</v>
          </cell>
          <cell r="R217">
            <v>96000</v>
          </cell>
        </row>
        <row r="218">
          <cell r="O218" t="str">
            <v>BS0333</v>
          </cell>
          <cell r="R218">
            <v>846609</v>
          </cell>
        </row>
        <row r="219">
          <cell r="O219" t="str">
            <v>BS0337</v>
          </cell>
          <cell r="R219">
            <v>192000</v>
          </cell>
        </row>
        <row r="220">
          <cell r="O220" t="str">
            <v>BS0341</v>
          </cell>
          <cell r="R220">
            <v>192000</v>
          </cell>
        </row>
        <row r="221">
          <cell r="O221" t="str">
            <v>BS0318</v>
          </cell>
          <cell r="R221">
            <v>240000</v>
          </cell>
        </row>
        <row r="222">
          <cell r="O222" t="str">
            <v>총합계</v>
          </cell>
          <cell r="R222">
            <v>47503374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유현아" refreshedDate="46127.656808564818" createdVersion="8" refreshedVersion="8" minRefreshableVersion="3" recordCount="412" xr:uid="{5103396C-C2C9-4203-8BF4-34063BEFAAEA}">
  <cacheSource type="worksheet">
    <worksheetSource ref="A1:N413" sheet="RD.재고현황"/>
  </cacheSource>
  <cacheFields count="14">
    <cacheField name="창고" numFmtId="49">
      <sharedItems count="7">
        <s v="용마창고"/>
        <s v="L관창고(자재)"/>
        <s v="L관창고(자재불량)"/>
        <s v="하드실 원재료"/>
        <s v="A관 공정부자재"/>
        <s v="C관 공정부자재"/>
        <s v="S관 공정부자재"/>
      </sharedItems>
    </cacheField>
    <cacheField name="구분" numFmtId="49">
      <sharedItems/>
    </cacheField>
    <cacheField name="품목코드" numFmtId="49">
      <sharedItems count="219">
        <s v="BS0053"/>
        <s v="BS0073"/>
        <s v="BS0129"/>
        <s v="BS0155"/>
        <s v="BS0214"/>
        <s v="BS0005"/>
        <s v="BS0006"/>
        <s v="BS0007"/>
        <s v="BS0010"/>
        <s v="BS0011"/>
        <s v="BS0012"/>
        <s v="BS0013"/>
        <s v="BS0014"/>
        <s v="BS0023"/>
        <s v="BS0031"/>
        <s v="BS0032"/>
        <s v="BS0033"/>
        <s v="BS0034"/>
        <s v="BS0036"/>
        <s v="BS0037"/>
        <s v="BS0038"/>
        <s v="BS0039"/>
        <s v="BS0040"/>
        <s v="BS0041"/>
        <s v="BS0043"/>
        <s v="BS0044"/>
        <s v="BS0045"/>
        <s v="BS0046"/>
        <s v="BS0048"/>
        <s v="BS0049"/>
        <s v="BS0050"/>
        <s v="BS0051"/>
        <s v="BS0052"/>
        <s v="BS0054"/>
        <s v="BS0055"/>
        <s v="BS0057"/>
        <s v="BS0058"/>
        <s v="BS0059"/>
        <s v="BS0060"/>
        <s v="BS0061"/>
        <s v="BS0062"/>
        <s v="BS0063"/>
        <s v="BS0064"/>
        <s v="BS0065"/>
        <s v="BS0066"/>
        <s v="BS0068"/>
        <s v="BS0069"/>
        <s v="BS0070"/>
        <s v="BS0072"/>
        <s v="BS0074"/>
        <s v="BS0075"/>
        <s v="BS0076"/>
        <s v="BS0077"/>
        <s v="BS0078"/>
        <s v="BS0079"/>
        <s v="BS0080"/>
        <s v="BS0081"/>
        <s v="BS0082"/>
        <s v="BS0083"/>
        <s v="BS0084"/>
        <s v="BS0085"/>
        <s v="BS0086"/>
        <s v="BS0089"/>
        <s v="BS0090"/>
        <s v="BS0091"/>
        <s v="BS0093"/>
        <s v="BS0094"/>
        <s v="BS0095"/>
        <s v="BS0098"/>
        <s v="BS0099"/>
        <s v="BS0100"/>
        <s v="BS0101"/>
        <s v="BS0102"/>
        <s v="BS0103"/>
        <s v="BS0104"/>
        <s v="BS0105"/>
        <s v="BS0107"/>
        <s v="BS0108"/>
        <s v="BS0109"/>
        <s v="BS0110"/>
        <s v="BS0111"/>
        <s v="BS0112"/>
        <s v="BS0113"/>
        <s v="BS0114"/>
        <s v="BS0115"/>
        <s v="BS0116"/>
        <s v="BS0117"/>
        <s v="BS0118"/>
        <s v="BS0119"/>
        <s v="BS0120"/>
        <s v="BS0121"/>
        <s v="BS0123"/>
        <s v="BS0124"/>
        <s v="BS0125"/>
        <s v="BS0126"/>
        <s v="BS0127"/>
        <s v="BS0128"/>
        <s v="BS0132"/>
        <s v="BS0133"/>
        <s v="BS0134"/>
        <s v="BS0138"/>
        <s v="BS0141"/>
        <s v="BS0142"/>
        <s v="BS0145"/>
        <s v="BS0146"/>
        <s v="BS0147"/>
        <s v="BS0149"/>
        <s v="BS0150"/>
        <s v="BS0151"/>
        <s v="BS0154"/>
        <s v="BS0156"/>
        <s v="BS0159"/>
        <s v="BS0160"/>
        <s v="BS0161"/>
        <s v="BS0162"/>
        <s v="BS0163"/>
        <s v="BS0164"/>
        <s v="BS0166"/>
        <s v="BS0169"/>
        <s v="BS0170"/>
        <s v="BS0172"/>
        <s v="BS0173"/>
        <s v="BS0175"/>
        <s v="BS0176"/>
        <s v="BS0178"/>
        <s v="BS0179"/>
        <s v="BS0181"/>
        <s v="BS0182"/>
        <s v="BS0183"/>
        <s v="BS0184"/>
        <s v="BS0185"/>
        <s v="BS0187"/>
        <s v="BS0189"/>
        <s v="BS0191"/>
        <s v="BS0192"/>
        <s v="BS0193"/>
        <s v="BS0195"/>
        <s v="BS0196"/>
        <s v="BS0197"/>
        <s v="BS0198"/>
        <s v="BS0201"/>
        <s v="BS0202"/>
        <s v="BS0204"/>
        <s v="BS0205"/>
        <s v="BS0206"/>
        <s v="BS0207"/>
        <s v="BS0208"/>
        <s v="BS0209"/>
        <s v="BS0210"/>
        <s v="BS0212"/>
        <s v="BS0213"/>
        <s v="BS0215"/>
        <s v="BS0216"/>
        <s v="BS0217"/>
        <s v="BS0219"/>
        <s v="BS0220"/>
        <s v="BS0223"/>
        <s v="BS0224"/>
        <s v="BS0226"/>
        <s v="BS0227"/>
        <s v="BS0228"/>
        <s v="BS0229"/>
        <s v="BS0230"/>
        <s v="BS0231"/>
        <s v="BS0233"/>
        <s v="BS0235"/>
        <s v="BS0238"/>
        <s v="BS0241"/>
        <s v="BS0242"/>
        <s v="BS0243"/>
        <s v="BS0244"/>
        <s v="BS0245"/>
        <s v="BS0246"/>
        <s v="BS0248"/>
        <s v="BS0250"/>
        <s v="BS0252"/>
        <s v="BS0253"/>
        <s v="BS0254"/>
        <s v="BS0255"/>
        <s v="BS0257"/>
        <s v="BS0259"/>
        <s v="BS0260"/>
        <s v="BS0261"/>
        <s v="BS0263"/>
        <s v="BS0264"/>
        <s v="BS0265"/>
        <s v="BS0266"/>
        <s v="BS0270"/>
        <s v="BS0271"/>
        <s v="BS0272"/>
        <s v="BS0273"/>
        <s v="BS0274"/>
        <s v="BS0275"/>
        <s v="BS0278"/>
        <s v="BS0279"/>
        <s v="BS0280"/>
        <s v="BS0281"/>
        <s v="BS0284"/>
        <s v="BS0285"/>
        <s v="BS0286"/>
        <s v="BS0287"/>
        <s v="BS0288"/>
        <s v="BS0299"/>
        <s v="BS0300"/>
        <s v="BS0304"/>
        <s v="BS0305"/>
        <s v="BS0306"/>
        <s v="BS0307"/>
        <s v="BS0308"/>
        <s v="BS0309"/>
        <s v="BS0315"/>
        <s v="BS0316"/>
        <s v="BS0317"/>
        <s v="BS0318"/>
        <s v="BS0331"/>
        <s v="BS0332"/>
        <s v="BS0333"/>
        <s v="BS0337"/>
        <s v="BS0341"/>
      </sharedItems>
    </cacheField>
    <cacheField name="품목명" numFmtId="49">
      <sharedItems/>
    </cacheField>
    <cacheField name="규격" numFmtId="49">
      <sharedItems/>
    </cacheField>
    <cacheField name="대분류" numFmtId="49">
      <sharedItems/>
    </cacheField>
    <cacheField name="중분류" numFmtId="49">
      <sharedItems/>
    </cacheField>
    <cacheField name="Lot.No" numFmtId="49">
      <sharedItems/>
    </cacheField>
    <cacheField name="기초" numFmtId="0">
      <sharedItems containsSemiMixedTypes="0" containsString="0" containsNumber="1" containsInteger="1" minValue="0" maxValue="3402000"/>
    </cacheField>
    <cacheField name="입고" numFmtId="0">
      <sharedItems containsSemiMixedTypes="0" containsString="0" containsNumber="1" containsInteger="1" minValue="0" maxValue="3977000"/>
    </cacheField>
    <cacheField name="출고" numFmtId="0">
      <sharedItems containsSemiMixedTypes="0" containsString="0" containsNumber="1" containsInteger="1" minValue="0" maxValue="4266000"/>
    </cacheField>
    <cacheField name="재고" numFmtId="0">
      <sharedItems containsSemiMixedTypes="0" containsString="0" containsNumber="1" containsInteger="1" minValue="-12358" maxValue="3829000"/>
    </cacheField>
    <cacheField name="검사대기" numFmtId="0">
      <sharedItems containsSemiMixedTypes="0" containsString="0" containsNumber="1" containsInteger="1" minValue="0" maxValue="0"/>
    </cacheField>
    <cacheField name="단위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2">
  <r>
    <x v="0"/>
    <s v="부자재"/>
    <x v="0"/>
    <s v="알루미늄리드지 (국내/중국 1-Day Soft)_무광 코팅"/>
    <s v="BS0053-002"/>
    <s v="부자재"/>
    <s v="소프트렌즈(B)"/>
    <s v=""/>
    <n v="0"/>
    <n v="0"/>
    <n v="0"/>
    <n v="0"/>
    <n v="0"/>
    <s v="EA"/>
  </r>
  <r>
    <x v="0"/>
    <s v="부자재"/>
    <x v="1"/>
    <s v="알루미늄리드지 (일본 PIA 1day 55%)_유광 코팅"/>
    <s v="BS0073-002"/>
    <s v="부자재"/>
    <s v="소프트렌즈(B)"/>
    <s v=""/>
    <n v="0"/>
    <n v="0"/>
    <n v="0"/>
    <n v="0"/>
    <n v="0"/>
    <s v="EA"/>
  </r>
  <r>
    <x v="0"/>
    <s v="부자재"/>
    <x v="2"/>
    <s v="알루미늄리드지 (중국향 Clalen RINA 1-Day 리드지)_유광 코팅"/>
    <s v="BS0129-001"/>
    <s v="부자재"/>
    <s v="소프트렌즈(B)"/>
    <s v=""/>
    <n v="0"/>
    <n v="0"/>
    <n v="0"/>
    <n v="0"/>
    <n v="0"/>
    <s v="EA"/>
  </r>
  <r>
    <x v="0"/>
    <s v="부자재"/>
    <x v="3"/>
    <s v="알루미늄리드지 (공용 Alcon Freshlook CC Lens)_유광 코팅"/>
    <s v="BS0155-001"/>
    <s v="부자재"/>
    <s v="소프트렌즈(B)"/>
    <s v=""/>
    <n v="0"/>
    <n v="0"/>
    <n v="0"/>
    <n v="0"/>
    <n v="0"/>
    <s v="EA"/>
  </r>
  <r>
    <x v="0"/>
    <s v="부자재"/>
    <x v="4"/>
    <s v="알루미늄리드지 (Bella 리뉴얼 원데이 리드지(아랍))_유광코팅"/>
    <s v="BS0214-001"/>
    <s v="부자재"/>
    <s v="소프트렌즈(B)"/>
    <s v=""/>
    <n v="0"/>
    <n v="0"/>
    <n v="0"/>
    <n v="0"/>
    <n v="0"/>
    <s v="EA"/>
  </r>
  <r>
    <x v="1"/>
    <s v="부자재"/>
    <x v="5"/>
    <s v="알루미늄리드지 (Monthly_무지)"/>
    <s v="BS0005-002"/>
    <s v="부자재"/>
    <s v="소프트렌즈(B)"/>
    <s v=""/>
    <n v="1560039"/>
    <n v="0"/>
    <n v="360009"/>
    <n v="1200030"/>
    <n v="0"/>
    <s v="EA"/>
  </r>
  <r>
    <x v="1"/>
    <s v="부자재"/>
    <x v="6"/>
    <s v="알루미늄리드지 (1-Day Soft)구형_무광 코팅"/>
    <s v="BS0006-001"/>
    <s v="부자재"/>
    <s v="소프트렌즈(B)"/>
    <s v=""/>
    <n v="100000"/>
    <n v="0"/>
    <n v="0"/>
    <n v="100000"/>
    <n v="0"/>
    <s v="EA"/>
  </r>
  <r>
    <x v="1"/>
    <s v="부자재"/>
    <x v="7"/>
    <s v="알루미늄리드지 (원데이-데일리)_유광 코팅"/>
    <s v="BS0007-001"/>
    <s v="부자재"/>
    <s v="소프트렌즈(B)"/>
    <s v=""/>
    <n v="148000"/>
    <n v="0"/>
    <n v="148000"/>
    <n v="0"/>
    <n v="0"/>
    <s v="EA"/>
  </r>
  <r>
    <x v="1"/>
    <s v="부자재"/>
    <x v="8"/>
    <s v="알루미늄리드지(원데이_아이리스)구형"/>
    <s v="BS0010-001"/>
    <s v="부자재"/>
    <s v="소프트렌즈(B)"/>
    <s v=""/>
    <n v="0"/>
    <n v="0"/>
    <n v="0"/>
    <n v="0"/>
    <n v="0"/>
    <s v="EA"/>
  </r>
  <r>
    <x v="1"/>
    <s v="부자재"/>
    <x v="9"/>
    <s v="알루미늄리드지 (원데이-스플레쉬)_유광 코팅"/>
    <s v="BS0011-001"/>
    <s v="부자재"/>
    <s v="소프트렌즈(B)"/>
    <s v=""/>
    <n v="98000"/>
    <n v="0"/>
    <n v="0"/>
    <n v="98000"/>
    <n v="0"/>
    <s v="EA"/>
  </r>
  <r>
    <x v="1"/>
    <s v="부자재"/>
    <x v="10"/>
    <s v="알루미늄리드지(LuxeBrown)"/>
    <s v="BS0012-001"/>
    <s v="부자재"/>
    <s v="소프트렌즈(B)"/>
    <s v=""/>
    <n v="0"/>
    <n v="0"/>
    <n v="0"/>
    <n v="0"/>
    <n v="0"/>
    <s v="EA"/>
  </r>
  <r>
    <x v="1"/>
    <s v="부자재"/>
    <x v="11"/>
    <s v="알루미늄리드지(SheerBlack)"/>
    <s v="BS0013-001"/>
    <s v="부자재"/>
    <s v="소프트렌즈(B)"/>
    <s v=""/>
    <n v="0"/>
    <n v="0"/>
    <n v="0"/>
    <n v="0"/>
    <n v="0"/>
    <s v="EA"/>
  </r>
  <r>
    <x v="1"/>
    <s v="부자재"/>
    <x v="12"/>
    <s v="알루미늄리드지(Sheerbrown)"/>
    <s v="BS0014-001"/>
    <s v="부자재"/>
    <s v="소프트렌즈(B)"/>
    <s v=""/>
    <n v="0"/>
    <n v="0"/>
    <n v="0"/>
    <n v="0"/>
    <n v="0"/>
    <s v="EA"/>
  </r>
  <r>
    <x v="1"/>
    <s v="부자재"/>
    <x v="13"/>
    <s v="알루미늄리드지(1-Day Facil)"/>
    <s v="BS0023-001"/>
    <s v="부자재"/>
    <s v="소프트렌즈(B)"/>
    <s v=""/>
    <n v="0"/>
    <n v="0"/>
    <n v="0"/>
    <n v="0"/>
    <n v="0"/>
    <s v="EA"/>
  </r>
  <r>
    <x v="1"/>
    <s v="부자재"/>
    <x v="14"/>
    <s v="알루미늄리드지 (원데이-MPG&amp;E)_유광 코팅"/>
    <s v="BS0031-004"/>
    <s v="부자재"/>
    <s v="소프트렌즈(B)"/>
    <s v=""/>
    <n v="48000"/>
    <n v="0"/>
    <n v="0"/>
    <n v="48000"/>
    <n v="0"/>
    <s v="EA"/>
  </r>
  <r>
    <x v="1"/>
    <s v="부자재"/>
    <x v="15"/>
    <s v="알루미늄리드지 (무지-백색)"/>
    <s v="BS0032-001"/>
    <s v="부자재"/>
    <s v="소프트렌즈(B)"/>
    <s v=""/>
    <n v="0"/>
    <n v="0"/>
    <n v="0"/>
    <n v="0"/>
    <n v="0"/>
    <s v="EA"/>
  </r>
  <r>
    <x v="1"/>
    <s v="부자재"/>
    <x v="16"/>
    <s v="알루미늄리드지(1-Day LARME)"/>
    <s v="BS0033-001"/>
    <s v="부자재"/>
    <s v="소프트렌즈(B)"/>
    <s v=""/>
    <n v="0"/>
    <n v="0"/>
    <n v="0"/>
    <n v="0"/>
    <n v="0"/>
    <s v="EA"/>
  </r>
  <r>
    <x v="1"/>
    <s v="부자재"/>
    <x v="17"/>
    <s v="알루미늄리드지 (원데이-스플레쉬) 구 디자인_유광 코팅"/>
    <s v="BS0034-001"/>
    <s v="부자재"/>
    <s v="소프트렌즈(B)"/>
    <s v=""/>
    <n v="0"/>
    <n v="0"/>
    <n v="0"/>
    <n v="0"/>
    <n v="0"/>
    <s v="EA"/>
  </r>
  <r>
    <x v="1"/>
    <s v="부자재"/>
    <x v="18"/>
    <s v="알루미늄리드지 (PIA 1Day)_유광 코팅"/>
    <s v="BS0036-001"/>
    <s v="부자재"/>
    <s v="소프트렌즈(B)"/>
    <s v=""/>
    <n v="2525000"/>
    <n v="0"/>
    <n v="1410000"/>
    <n v="1115000"/>
    <n v="0"/>
    <s v="EA"/>
  </r>
  <r>
    <x v="1"/>
    <s v="부자재"/>
    <x v="19"/>
    <s v="알루미늄리드지 (아이리스 2weeks)_유광 코팅"/>
    <s v="BS0037-001"/>
    <s v="부자재"/>
    <s v="소프트렌즈(B)"/>
    <s v=""/>
    <n v="0"/>
    <n v="0"/>
    <n v="0"/>
    <n v="0"/>
    <n v="0"/>
    <s v="EA"/>
  </r>
  <r>
    <x v="1"/>
    <s v="부자재"/>
    <x v="20"/>
    <s v="알루미늄리드지 (Clalen 55S)_유광 코팅"/>
    <s v="BS0038-003"/>
    <s v="부자재"/>
    <s v="소프트렌즈(B)"/>
    <s v=""/>
    <n v="62553"/>
    <n v="0"/>
    <n v="0"/>
    <n v="62553"/>
    <n v="0"/>
    <s v="EA"/>
  </r>
  <r>
    <x v="1"/>
    <s v="부자재"/>
    <x v="21"/>
    <s v="알루미늄리드지 (신시아 2week UV)_유광 코팅"/>
    <s v="BS0039-002"/>
    <s v="부자재"/>
    <s v="소프트렌즈(B)"/>
    <s v=""/>
    <n v="259200"/>
    <n v="0"/>
    <n v="0"/>
    <n v="259200"/>
    <n v="0"/>
    <s v="EA"/>
  </r>
  <r>
    <x v="1"/>
    <s v="부자재"/>
    <x v="22"/>
    <s v="알루미늄리드지(아시아네트웍스-FlowerEyes)"/>
    <s v="BS0040-001"/>
    <s v="부자재"/>
    <s v="소프트렌즈(B)"/>
    <s v=""/>
    <n v="0"/>
    <n v="0"/>
    <n v="0"/>
    <n v="0"/>
    <n v="0"/>
    <s v="EA"/>
  </r>
  <r>
    <x v="1"/>
    <s v="부자재"/>
    <x v="23"/>
    <s v="알루미늄리드지(아시아네트웍스-돈키PB)"/>
    <s v="BS0041-001"/>
    <s v="부자재"/>
    <s v="소프트렌즈(B)"/>
    <s v=""/>
    <n v="0"/>
    <n v="0"/>
    <n v="0"/>
    <n v="0"/>
    <n v="0"/>
    <s v="EA"/>
  </r>
  <r>
    <x v="1"/>
    <s v="부자재"/>
    <x v="24"/>
    <s v="알루미늄리드지(Asia-리치베이비)"/>
    <s v="BS0043-001"/>
    <s v="부자재"/>
    <s v="소프트렌즈(B)"/>
    <s v=""/>
    <n v="0"/>
    <n v="0"/>
    <n v="0"/>
    <n v="0"/>
    <n v="0"/>
    <s v="EA"/>
  </r>
  <r>
    <x v="1"/>
    <s v="부자재"/>
    <x v="25"/>
    <s v="알루미늄리드지(Asia-EyeGrace)"/>
    <s v="BS0044-001"/>
    <s v="부자재"/>
    <s v="소프트렌즈(B)"/>
    <s v=""/>
    <n v="0"/>
    <n v="0"/>
    <n v="0"/>
    <n v="0"/>
    <n v="0"/>
    <s v="EA"/>
  </r>
  <r>
    <x v="1"/>
    <s v="부자재"/>
    <x v="26"/>
    <s v="알루미늄리드지(Asia-주얼리하트)"/>
    <s v="BS0045-001"/>
    <s v="부자재"/>
    <s v="소프트렌즈(B)"/>
    <s v=""/>
    <n v="0"/>
    <n v="0"/>
    <n v="0"/>
    <n v="0"/>
    <n v="0"/>
    <s v="EA"/>
  </r>
  <r>
    <x v="1"/>
    <s v="부자재"/>
    <x v="27"/>
    <s v="알루미늄리드지 (무지-백색w210)"/>
    <s v="BS0046-001"/>
    <s v="부자재"/>
    <s v="소프트렌즈(B)"/>
    <s v=""/>
    <n v="0"/>
    <n v="0"/>
    <n v="0"/>
    <n v="0"/>
    <n v="0"/>
    <s v="EA"/>
  </r>
  <r>
    <x v="1"/>
    <s v="부자재"/>
    <x v="28"/>
    <s v="알루미늄리드지 (Metha Daily)_유광 코팅"/>
    <s v="BS0048-001"/>
    <s v="부자재"/>
    <s v="소프트렌즈(B)"/>
    <s v=""/>
    <n v="390000"/>
    <n v="0"/>
    <n v="294000"/>
    <n v="96000"/>
    <n v="0"/>
    <s v="EA"/>
  </r>
  <r>
    <x v="1"/>
    <s v="부자재"/>
    <x v="29"/>
    <s v="알루미늄리드지 (신시아_원데이UV모이스쳐)_무광 코팅"/>
    <s v="BS0049-002"/>
    <s v="부자재"/>
    <s v="소프트렌즈(B)"/>
    <s v=""/>
    <n v="46000"/>
    <n v="0"/>
    <n v="0"/>
    <n v="46000"/>
    <n v="0"/>
    <s v="EA"/>
  </r>
  <r>
    <x v="1"/>
    <s v="부자재"/>
    <x v="30"/>
    <s v="알루미늄리드지 (Iris_수지그레이)_무광 코팅"/>
    <s v="BS0050-002"/>
    <s v="부자재"/>
    <s v="소프트렌즈(B)"/>
    <s v=""/>
    <n v="1458000"/>
    <n v="0"/>
    <n v="683000"/>
    <n v="775000"/>
    <n v="0"/>
    <s v="EA"/>
  </r>
  <r>
    <x v="1"/>
    <s v="부자재"/>
    <x v="31"/>
    <s v="알루미늄리드지 (스타비전_넬리브라운)_유광 코팅"/>
    <s v="BS0051-002"/>
    <s v="부자재"/>
    <s v="소프트렌즈(B)"/>
    <s v=""/>
    <n v="0"/>
    <n v="0"/>
    <n v="0"/>
    <n v="0"/>
    <n v="0"/>
    <s v="EA"/>
  </r>
  <r>
    <x v="1"/>
    <s v="부자재"/>
    <x v="32"/>
    <s v="알루미늄리드지 (Iris-Toric)_무광 코팅"/>
    <s v="BS0052-002"/>
    <s v="부자재"/>
    <s v="소프트렌즈(B)"/>
    <s v=""/>
    <n v="675000"/>
    <n v="0"/>
    <n v="195000"/>
    <n v="480000"/>
    <n v="0"/>
    <s v="EA"/>
  </r>
  <r>
    <x v="1"/>
    <s v="부자재"/>
    <x v="0"/>
    <s v="알루미늄리드지 (국내/중국 1-Day Soft)_무광 코팅"/>
    <s v="BS0053-002"/>
    <s v="부자재"/>
    <s v="소프트렌즈(B)"/>
    <s v=""/>
    <n v="722000"/>
    <n v="3107000"/>
    <n v="0"/>
    <n v="3829000"/>
    <n v="0"/>
    <s v="EA"/>
  </r>
  <r>
    <x v="1"/>
    <s v="부자재"/>
    <x v="33"/>
    <s v="알루미늄리드지 (국내/중국 원데이_아이리스)_무광 코팅"/>
    <s v="BS0054-003"/>
    <s v="부자재"/>
    <s v="소프트렌즈(B)"/>
    <s v=""/>
    <n v="3402000"/>
    <n v="864000"/>
    <n v="4266000"/>
    <n v="0"/>
    <n v="0"/>
    <s v="EA"/>
  </r>
  <r>
    <x v="1"/>
    <s v="부자재"/>
    <x v="34"/>
    <s v="알루미늄리드지 (스타비전_아이스그레이)_유광 코팅"/>
    <s v="BS0055-002"/>
    <s v="부자재"/>
    <s v="소프트렌즈(B)"/>
    <s v=""/>
    <n v="0"/>
    <n v="0"/>
    <n v="0"/>
    <n v="0"/>
    <n v="0"/>
    <s v="EA"/>
  </r>
  <r>
    <x v="1"/>
    <s v="부자재"/>
    <x v="35"/>
    <s v="알루미늄리드지 (Iris-알리샤브라운)_무광 코팅"/>
    <s v="BS0057-002"/>
    <s v="부자재"/>
    <s v="소프트렌즈(B)"/>
    <s v=""/>
    <n v="48000"/>
    <n v="587000"/>
    <n v="96000"/>
    <n v="539000"/>
    <n v="0"/>
    <s v="EA"/>
  </r>
  <r>
    <x v="1"/>
    <s v="부자재"/>
    <x v="36"/>
    <s v="알루미늄리드지 (프랑스 Ophtalmic 1-day 블랙)_무광 코팅"/>
    <s v="BS0058-001"/>
    <s v="부자재"/>
    <s v="소프트렌즈(B)"/>
    <s v=""/>
    <n v="0"/>
    <n v="0"/>
    <n v="0"/>
    <n v="0"/>
    <n v="0"/>
    <s v="EA"/>
  </r>
  <r>
    <x v="1"/>
    <s v="부자재"/>
    <x v="37"/>
    <s v="알루미늄리드지 (Bella_1Day_컬러 리드지)_유광 코팅"/>
    <s v="BS0059-001"/>
    <s v="부자재"/>
    <s v="소프트렌즈(B)"/>
    <s v=""/>
    <n v="389000"/>
    <n v="0"/>
    <n v="0"/>
    <n v="389000"/>
    <n v="0"/>
    <s v="EA"/>
  </r>
  <r>
    <x v="1"/>
    <s v="부자재"/>
    <x v="38"/>
    <s v="알루미늄리드지 (From-eyes - anecon)_무광 코팅"/>
    <s v="BS0060-001"/>
    <s v="부자재"/>
    <s v="소프트렌즈(B)"/>
    <s v=""/>
    <n v="0"/>
    <n v="0"/>
    <n v="0"/>
    <n v="0"/>
    <n v="0"/>
    <s v="EA"/>
  </r>
  <r>
    <x v="1"/>
    <s v="부자재"/>
    <x v="39"/>
    <s v="알루미늄리드지 (From-eyes - motecon)_무광 코팅"/>
    <s v="BS0061-001"/>
    <s v="부자재"/>
    <s v="소프트렌즈(B)"/>
    <s v=""/>
    <n v="0"/>
    <n v="0"/>
    <n v="0"/>
    <n v="0"/>
    <n v="0"/>
    <s v="EA"/>
  </r>
  <r>
    <x v="1"/>
    <s v="부자재"/>
    <x v="40"/>
    <s v="알루미늄리드지 (일본 sincere Natural 1day Moisture)_유광 코팅"/>
    <s v="BS0062-002"/>
    <s v="부자재"/>
    <s v="소프트렌즈(B)"/>
    <s v=""/>
    <n v="95000"/>
    <n v="0"/>
    <n v="0"/>
    <n v="95000"/>
    <n v="0"/>
    <s v="EA"/>
  </r>
  <r>
    <x v="1"/>
    <s v="부자재"/>
    <x v="41"/>
    <s v="알루미늄리드지 (일본 sincere Naturali 1day clear UV moisture)_무광 코팅"/>
    <s v="BS0063-001"/>
    <s v="부자재"/>
    <s v="소프트렌즈(B)"/>
    <s v=""/>
    <n v="0"/>
    <n v="0"/>
    <n v="0"/>
    <n v="0"/>
    <n v="0"/>
    <s v="EA"/>
  </r>
  <r>
    <x v="1"/>
    <s v="부자재"/>
    <x v="42"/>
    <s v="알루미늄리드지 (국내/중국 클라렌 아이리스 2)_무광 코팅"/>
    <s v="BS0064-002"/>
    <s v="부자재"/>
    <s v="소프트렌즈(B)"/>
    <s v=""/>
    <n v="287235"/>
    <n v="0"/>
    <n v="0"/>
    <n v="287235"/>
    <n v="0"/>
    <s v="EA"/>
  </r>
  <r>
    <x v="1"/>
    <s v="부자재"/>
    <x v="43"/>
    <s v="알루미늄리드지 (미국 PDI 원데이)_유광 코팅"/>
    <s v="BS0065-001"/>
    <s v="부자재"/>
    <s v="소프트렌즈(B)"/>
    <s v=""/>
    <n v="144000"/>
    <n v="0"/>
    <n v="0"/>
    <n v="144000"/>
    <n v="0"/>
    <s v="EA"/>
  </r>
  <r>
    <x v="1"/>
    <s v="부자재"/>
    <x v="44"/>
    <s v="알루미늄리드지 (이태리 Soleko – Queen’s one 원데이 컬러)_유광 코팅"/>
    <s v="BS0066-002"/>
    <s v="부자재"/>
    <s v="소프트렌즈(B)"/>
    <s v=""/>
    <n v="0"/>
    <n v="0"/>
    <n v="0"/>
    <n v="0"/>
    <n v="0"/>
    <s v="EA"/>
  </r>
  <r>
    <x v="1"/>
    <s v="부자재"/>
    <x v="45"/>
    <s v="알루미늄리드지 (일본 From eyes Eyecloset)_무광 코팅"/>
    <s v="BS0068-001"/>
    <s v="부자재"/>
    <s v="소프트렌즈(B)"/>
    <s v=""/>
    <n v="0"/>
    <n v="0"/>
    <n v="0"/>
    <n v="0"/>
    <n v="0"/>
    <s v="EA"/>
  </r>
  <r>
    <x v="1"/>
    <s v="부자재"/>
    <x v="46"/>
    <s v="알루미늄리드지 (중국 Clalen 38S)_유광 코팅"/>
    <s v="BS0069-001"/>
    <s v="부자재"/>
    <s v="소프트렌즈(B)"/>
    <s v=""/>
    <n v="0"/>
    <n v="0"/>
    <n v="0"/>
    <n v="0"/>
    <n v="0"/>
    <s v="EA"/>
  </r>
  <r>
    <x v="1"/>
    <s v="부자재"/>
    <x v="47"/>
    <s v="알루미늄리드지 (일본 From eyes 55% clear 1day)_무광 코팅"/>
    <s v="BS0070-001"/>
    <s v="부자재"/>
    <s v="소프트렌즈(B)"/>
    <s v=""/>
    <n v="0"/>
    <n v="0"/>
    <n v="0"/>
    <n v="0"/>
    <n v="0"/>
    <s v="EA"/>
  </r>
  <r>
    <x v="1"/>
    <s v="부자재"/>
    <x v="48"/>
    <s v="알루미늄리드지 (캐나다 PIA 1-DAY)_유광 코팅"/>
    <s v="BS0072-002"/>
    <s v="부자재"/>
    <s v="소프트렌즈(B)"/>
    <s v=""/>
    <n v="0"/>
    <n v="0"/>
    <n v="0"/>
    <n v="0"/>
    <n v="0"/>
    <s v="EA"/>
  </r>
  <r>
    <x v="1"/>
    <s v="부자재"/>
    <x v="1"/>
    <s v="알루미늄리드지 (일본 PIA 1day 55%)_유광 코팅"/>
    <s v="BS0073-002"/>
    <s v="부자재"/>
    <s v="소프트렌즈(B)"/>
    <s v=""/>
    <n v="1353000"/>
    <n v="3519000"/>
    <n v="3795000"/>
    <n v="1077000"/>
    <n v="0"/>
    <s v="EA"/>
  </r>
  <r>
    <x v="1"/>
    <s v="부자재"/>
    <x v="49"/>
    <s v="알루미늄리드지 (해외공용 1-day 리드지)_유광 코팅"/>
    <s v="BS0074-001"/>
    <s v="부자재"/>
    <s v="소프트렌즈(B)"/>
    <s v=""/>
    <n v="578000"/>
    <n v="0"/>
    <n v="0"/>
    <n v="578000"/>
    <n v="0"/>
    <s v="EA"/>
  </r>
  <r>
    <x v="1"/>
    <s v="부자재"/>
    <x v="50"/>
    <s v="알루미늄리드지 (일본 HOYA_Casual Ash 55%)_유광 코팅"/>
    <s v="BS0075-001"/>
    <s v="부자재"/>
    <s v="소프트렌즈(B)"/>
    <s v=""/>
    <n v="0"/>
    <n v="0"/>
    <n v="0"/>
    <n v="0"/>
    <n v="0"/>
    <s v="EA"/>
  </r>
  <r>
    <x v="1"/>
    <s v="부자재"/>
    <x v="51"/>
    <s v="알루미늄리드지 (일본 HOYA_Aurora Gray 55%)_유광 코팅"/>
    <s v="BS0076-001"/>
    <s v="부자재"/>
    <s v="소프트렌즈(B)"/>
    <s v=""/>
    <n v="0"/>
    <n v="0"/>
    <n v="0"/>
    <n v="0"/>
    <n v="0"/>
    <s v="EA"/>
  </r>
  <r>
    <x v="1"/>
    <s v="부자재"/>
    <x v="52"/>
    <s v="알루미늄리드지 (일본 HOYA_Noble Ash 55%)_유광 코팅"/>
    <s v="BS0077-001"/>
    <s v="부자재"/>
    <s v="소프트렌즈(B)"/>
    <s v=""/>
    <n v="0"/>
    <n v="0"/>
    <n v="0"/>
    <n v="0"/>
    <n v="0"/>
    <s v="EA"/>
  </r>
  <r>
    <x v="1"/>
    <s v="부자재"/>
    <x v="53"/>
    <s v="알루미늄리드지 (일본 HOYA_Maquia Brown 55%)_유광 코팅"/>
    <s v="BS0078-001"/>
    <s v="부자재"/>
    <s v="소프트렌즈(B)"/>
    <s v=""/>
    <n v="0"/>
    <n v="0"/>
    <n v="0"/>
    <n v="0"/>
    <n v="0"/>
    <s v="EA"/>
  </r>
  <r>
    <x v="1"/>
    <s v="부자재"/>
    <x v="54"/>
    <s v="알루미늄리드지 (일본 From eyes Moisture 55%)_무광 코팅"/>
    <s v="BS0079-001"/>
    <s v="부자재"/>
    <s v="소프트렌즈(B)"/>
    <s v=""/>
    <n v="0"/>
    <n v="0"/>
    <n v="0"/>
    <n v="0"/>
    <n v="0"/>
    <s v="EA"/>
  </r>
  <r>
    <x v="1"/>
    <s v="부자재"/>
    <x v="55"/>
    <s v="알루미늄리드지 (중국 아이키니 1-Day 리드지)_유광 코팅"/>
    <s v="BS0080-001"/>
    <s v="부자재"/>
    <s v="소프트렌즈(B)"/>
    <s v=""/>
    <n v="0"/>
    <n v="0"/>
    <n v="0"/>
    <n v="0"/>
    <n v="0"/>
    <s v="EA"/>
  </r>
  <r>
    <x v="1"/>
    <s v="부자재"/>
    <x v="56"/>
    <s v="알루미늄리드지 (국내 아이키니 1-Day 리드지)_유광 코팅"/>
    <s v="BS0081-001"/>
    <s v="부자재"/>
    <s v="소프트렌즈(B)"/>
    <s v=""/>
    <n v="0"/>
    <n v="0"/>
    <n v="0"/>
    <n v="0"/>
    <n v="0"/>
    <s v="EA"/>
  </r>
  <r>
    <x v="1"/>
    <s v="부자재"/>
    <x v="57"/>
    <s v="알루미늄리드지 (PIA 55% 1Day Clear UV)_유광 코팅"/>
    <s v="BS0082-001"/>
    <s v="부자재"/>
    <s v="소프트렌즈(B)"/>
    <s v=""/>
    <n v="0"/>
    <n v="0"/>
    <n v="0"/>
    <n v="0"/>
    <n v="0"/>
    <s v="EA"/>
  </r>
  <r>
    <x v="1"/>
    <s v="부자재"/>
    <x v="58"/>
    <s v="알루미늄리드지 (체코 Alensa US 원데이 리드지)_유광 코팅"/>
    <s v="BS0083-002"/>
    <s v="부자재"/>
    <s v="소프트렌즈(B)"/>
    <s v=""/>
    <n v="258000"/>
    <n v="0"/>
    <n v="0"/>
    <n v="258000"/>
    <n v="0"/>
    <s v="EA"/>
  </r>
  <r>
    <x v="1"/>
    <s v="부자재"/>
    <x v="59"/>
    <s v="알루미늄리드지 (렌즈타운 Lighly 1Day_Brown)_유광 코팅"/>
    <s v="BS0084-001"/>
    <s v="부자재"/>
    <s v="소프트렌즈(B)"/>
    <s v=""/>
    <n v="290000"/>
    <n v="0"/>
    <n v="0"/>
    <n v="290000"/>
    <n v="0"/>
    <s v="EA"/>
  </r>
  <r>
    <x v="1"/>
    <s v="부자재"/>
    <x v="60"/>
    <s v="알루미늄리드지 (렌즈타운 Lighly 1Day_Gray)_유광 코팅"/>
    <s v="BS0085-001"/>
    <s v="부자재"/>
    <s v="소프트렌즈(B)"/>
    <s v=""/>
    <n v="300000"/>
    <n v="0"/>
    <n v="0"/>
    <n v="300000"/>
    <n v="0"/>
    <s v="EA"/>
  </r>
  <r>
    <x v="1"/>
    <s v="부자재"/>
    <x v="61"/>
    <s v="알루미늄리드지 (Iris_수지브라운)_무광 코팅"/>
    <s v="BS0086-001"/>
    <s v="부자재"/>
    <s v="소프트렌즈(B)"/>
    <s v=""/>
    <n v="650000"/>
    <n v="0"/>
    <n v="650000"/>
    <n v="0"/>
    <n v="0"/>
    <s v="EA"/>
  </r>
  <r>
    <x v="1"/>
    <s v="부자재"/>
    <x v="62"/>
    <s v="알루미늄리드지 (일본 HOYA_LaFORTE 55%)_유광 코팅"/>
    <s v="BS0089-001"/>
    <s v="부자재"/>
    <s v="소프트렌즈(B)"/>
    <s v=""/>
    <n v="0"/>
    <n v="0"/>
    <n v="0"/>
    <n v="0"/>
    <n v="0"/>
    <s v="EA"/>
  </r>
  <r>
    <x v="1"/>
    <s v="부자재"/>
    <x v="63"/>
    <s v="알루미늄리드지 (렌즈미 Realsome_Brown)_유광 코팅"/>
    <s v="BS0090-001"/>
    <s v="부자재"/>
    <s v="소프트렌즈(B)"/>
    <s v=""/>
    <n v="340000"/>
    <n v="0"/>
    <n v="0"/>
    <n v="340000"/>
    <n v="0"/>
    <s v="EA"/>
  </r>
  <r>
    <x v="1"/>
    <s v="부자재"/>
    <x v="64"/>
    <s v="알루미늄리드지 (렌즈미 Realsome_Choco)_유광 코팅"/>
    <s v="BS0091-001"/>
    <s v="부자재"/>
    <s v="소프트렌즈(B)"/>
    <s v=""/>
    <n v="384000"/>
    <n v="0"/>
    <n v="0"/>
    <n v="384000"/>
    <n v="0"/>
    <s v="EA"/>
  </r>
  <r>
    <x v="1"/>
    <s v="부자재"/>
    <x v="65"/>
    <s v="알루미늄리드지 (레바논 SAAD 원데이 컬러 TAMO 리드지)_유광 코팅"/>
    <s v="BS0093-001"/>
    <s v="부자재"/>
    <s v="소프트렌즈(B)"/>
    <s v=""/>
    <n v="41000"/>
    <n v="0"/>
    <n v="0"/>
    <n v="41000"/>
    <n v="0"/>
    <s v="EA"/>
  </r>
  <r>
    <x v="1"/>
    <s v="부자재"/>
    <x v="66"/>
    <s v="알루미늄리드지 (일본 From eyes Eyecloset) 국/디 (무광)_무광 코팅"/>
    <s v="BS0094-001"/>
    <s v="부자재"/>
    <s v="소프트렌즈(B)"/>
    <s v=""/>
    <n v="0"/>
    <n v="0"/>
    <n v="0"/>
    <n v="0"/>
    <n v="0"/>
    <s v="EA"/>
  </r>
  <r>
    <x v="1"/>
    <s v="부자재"/>
    <x v="67"/>
    <s v="알루미늄리드지 (러시아 Optic Center 1-Day GO 리드지)"/>
    <s v="BS0095-003"/>
    <s v="부자재"/>
    <s v="소프트렌즈(B)"/>
    <s v=""/>
    <n v="767000"/>
    <n v="0"/>
    <n v="239000"/>
    <n v="528000"/>
    <n v="0"/>
    <s v="EA"/>
  </r>
  <r>
    <x v="1"/>
    <s v="부자재"/>
    <x v="68"/>
    <s v="알루미늄리드지 (러시아 Optic Center ADRIA ZERO 리드지)"/>
    <s v="BS0098-002"/>
    <s v="부자재"/>
    <s v="소프트렌즈(B)"/>
    <s v=""/>
    <n v="522000"/>
    <n v="0"/>
    <n v="522000"/>
    <n v="0"/>
    <n v="0"/>
    <s v="EA"/>
  </r>
  <r>
    <x v="1"/>
    <s v="부자재"/>
    <x v="69"/>
    <s v="알루미늄리드지 (싱가폴 Blincon OWNDAYS 1-day 리드지)_무광 코팅"/>
    <s v="BS0099-004"/>
    <s v="부자재"/>
    <s v="소프트렌즈(B)"/>
    <s v=""/>
    <n v="0"/>
    <n v="0"/>
    <n v="0"/>
    <n v="0"/>
    <n v="0"/>
    <s v="EA"/>
  </r>
  <r>
    <x v="1"/>
    <s v="부자재"/>
    <x v="70"/>
    <s v="알루미늄리드지 (렌즈타운 Lighly Rose 1Day Beige)_유광 코팅"/>
    <s v="BS0100-001"/>
    <s v="부자재"/>
    <s v="소프트렌즈(B)"/>
    <s v=""/>
    <n v="48000"/>
    <n v="0"/>
    <n v="0"/>
    <n v="48000"/>
    <n v="0"/>
    <s v="EA"/>
  </r>
  <r>
    <x v="1"/>
    <s v="부자재"/>
    <x v="71"/>
    <s v="알루미늄리드지 (렌즈타운 Lighly Rose 1Day Gray)_유광 코팅"/>
    <s v="BS0101-001"/>
    <s v="부자재"/>
    <s v="소프트렌즈(B)"/>
    <s v=""/>
    <n v="144000"/>
    <n v="0"/>
    <n v="0"/>
    <n v="144000"/>
    <n v="0"/>
    <s v="EA"/>
  </r>
  <r>
    <x v="1"/>
    <s v="부자재"/>
    <x v="72"/>
    <s v="알루미늄리드지 (렌즈타운 Lighly Rose 1Day Rose)_유광 코팅"/>
    <s v="BS0102-001"/>
    <s v="부자재"/>
    <s v="소프트렌즈(B)"/>
    <s v=""/>
    <n v="131000"/>
    <n v="0"/>
    <n v="0"/>
    <n v="131000"/>
    <n v="0"/>
    <s v="EA"/>
  </r>
  <r>
    <x v="1"/>
    <s v="부자재"/>
    <x v="73"/>
    <s v="알루미늄리드지 (이태리 soleko US 58% 1day)_유광 코팅"/>
    <s v="BS0103-001"/>
    <s v="부자재"/>
    <s v="소프트렌즈(B)"/>
    <s v=""/>
    <n v="96000"/>
    <n v="0"/>
    <n v="96000"/>
    <n v="0"/>
    <n v="0"/>
    <s v="EA"/>
  </r>
  <r>
    <x v="1"/>
    <s v="부자재"/>
    <x v="74"/>
    <s v="알루미늄리드지 (중국 ALCON_Freshlook Chocolate)_유광 코팅"/>
    <s v="BS0104-003"/>
    <s v="부자재"/>
    <s v="소프트렌즈(B)"/>
    <s v=""/>
    <n v="0"/>
    <n v="0"/>
    <n v="0"/>
    <n v="0"/>
    <n v="0"/>
    <s v="EA"/>
  </r>
  <r>
    <x v="1"/>
    <s v="부자재"/>
    <x v="75"/>
    <s v="알루미늄리드지 (중국 ALCON_Freshlook Dreamy)_유광 코팅"/>
    <s v="BS0105-003"/>
    <s v="부자재"/>
    <s v="소프트렌즈(B)"/>
    <s v=""/>
    <n v="0"/>
    <n v="0"/>
    <n v="0"/>
    <n v="0"/>
    <n v="0"/>
    <s v="EA"/>
  </r>
  <r>
    <x v="1"/>
    <s v="부자재"/>
    <x v="76"/>
    <s v="알루미늄리드지 (Clalen Astra_글리터)_유광 코팅"/>
    <s v="BS0107-002"/>
    <s v="부자재"/>
    <s v="소프트렌즈(B)"/>
    <s v=""/>
    <n v="295000"/>
    <n v="0"/>
    <n v="0"/>
    <n v="295000"/>
    <n v="0"/>
    <s v="EA"/>
  </r>
  <r>
    <x v="1"/>
    <s v="부자재"/>
    <x v="77"/>
    <s v="알루미늄리드지 (Clalen Astra Estelle_브라운)_유광 코팅"/>
    <s v="BS0108-002"/>
    <s v="부자재"/>
    <s v="소프트렌즈(B)"/>
    <s v=""/>
    <n v="283000"/>
    <n v="0"/>
    <n v="0"/>
    <n v="283000"/>
    <n v="0"/>
    <s v="EA"/>
  </r>
  <r>
    <x v="1"/>
    <s v="부자재"/>
    <x v="78"/>
    <s v="알루미늄리드지 (Clalen Astra Estelle_그레이)_유광 코팅"/>
    <s v="BS0109-002"/>
    <s v="부자재"/>
    <s v="소프트렌즈(B)"/>
    <s v=""/>
    <n v="291000"/>
    <n v="0"/>
    <n v="0"/>
    <n v="291000"/>
    <n v="0"/>
    <s v="EA"/>
  </r>
  <r>
    <x v="1"/>
    <s v="부자재"/>
    <x v="79"/>
    <s v="알루미늄리드지 (캐나다 PIA 1Day 55% 컬러)_유광 코팅"/>
    <s v="BS0110-002"/>
    <s v="부자재"/>
    <s v="소프트렌즈(B)"/>
    <s v=""/>
    <n v="0"/>
    <n v="0"/>
    <n v="0"/>
    <n v="0"/>
    <n v="0"/>
    <s v="EA"/>
  </r>
  <r>
    <x v="1"/>
    <s v="부자재"/>
    <x v="80"/>
    <s v="알루미늄리드지 (렌즈미 Realfit 3Color_Brown)_유광 코팅"/>
    <s v="BS0111-001"/>
    <s v="부자재"/>
    <s v="소프트렌즈(B)"/>
    <s v=""/>
    <n v="299000"/>
    <n v="0"/>
    <n v="0"/>
    <n v="299000"/>
    <n v="0"/>
    <s v="EA"/>
  </r>
  <r>
    <x v="1"/>
    <s v="부자재"/>
    <x v="81"/>
    <s v="알루미늄리드지 (렌즈미 Realfit 3Color_Gray)_유광 코팅"/>
    <s v="BS0112-001"/>
    <s v="부자재"/>
    <s v="소프트렌즈(B)"/>
    <s v=""/>
    <n v="156000"/>
    <n v="0"/>
    <n v="0"/>
    <n v="156000"/>
    <n v="0"/>
    <s v="EA"/>
  </r>
  <r>
    <x v="1"/>
    <s v="부자재"/>
    <x v="82"/>
    <s v="알루미늄리드지 (일본 sincere ITOB 원데이 리드지)_무광 코팅"/>
    <s v="BS0113-001"/>
    <s v="부자재"/>
    <s v="소프트렌즈(B)"/>
    <s v=""/>
    <n v="0"/>
    <n v="0"/>
    <n v="0"/>
    <n v="0"/>
    <n v="0"/>
    <s v="EA"/>
  </r>
  <r>
    <x v="1"/>
    <s v="부자재"/>
    <x v="83"/>
    <s v="알루미늄리드지 (무지-백색_PET12/AL30/CPP100_White 표면인쇄)"/>
    <s v="BS0114-001"/>
    <s v="부자재"/>
    <s v="소프트렌즈(B)"/>
    <s v=""/>
    <n v="0"/>
    <n v="0"/>
    <n v="0"/>
    <n v="0"/>
    <n v="0"/>
    <s v="EA"/>
  </r>
  <r>
    <x v="1"/>
    <s v="부자재"/>
    <x v="84"/>
    <s v="알루미늄리드지 (무지-백색_PET12/AL30/CPP100_White 리버스인쇄)"/>
    <s v="BS0115-001"/>
    <s v="부자재"/>
    <s v="소프트렌즈(B)"/>
    <s v=""/>
    <n v="1175000"/>
    <n v="1425000"/>
    <n v="1765000"/>
    <n v="835000"/>
    <n v="0"/>
    <s v="EA"/>
  </r>
  <r>
    <x v="1"/>
    <s v="부자재"/>
    <x v="85"/>
    <s v="알루미늄리드지 (Clalen 1Day Freedom380)_무광 코팅"/>
    <s v="BS0116-001"/>
    <s v="부자재"/>
    <s v="소프트렌즈(B)"/>
    <s v=""/>
    <n v="2229000"/>
    <n v="0"/>
    <n v="0"/>
    <n v="2229000"/>
    <n v="0"/>
    <s v="EA"/>
  </r>
  <r>
    <x v="1"/>
    <s v="부자재"/>
    <x v="86"/>
    <s v="알루미늄리드지 (Celena_영문_컬러 원데이)_유광 코팅"/>
    <s v="BS0117-002"/>
    <s v="부자재"/>
    <s v="소프트렌즈(B)"/>
    <s v=""/>
    <n v="50000"/>
    <n v="0"/>
    <n v="0"/>
    <n v="50000"/>
    <n v="0"/>
    <s v="EA"/>
  </r>
  <r>
    <x v="1"/>
    <s v="부자재"/>
    <x v="87"/>
    <s v="알루미늄리드지 (렌즈타운 Lighly Rose 1Day Khaki)_유광 코팅"/>
    <s v="BS0118-001"/>
    <s v="부자재"/>
    <s v="소프트렌즈(B)"/>
    <s v=""/>
    <n v="41000"/>
    <n v="0"/>
    <n v="0"/>
    <n v="41000"/>
    <n v="0"/>
    <s v="EA"/>
  </r>
  <r>
    <x v="1"/>
    <s v="부자재"/>
    <x v="88"/>
    <s v="알루미늄리드지 (렌즈타운 Lighly Rose 1Day Berry)_유광 코팅"/>
    <s v="BS0119-001"/>
    <s v="부자재"/>
    <s v="소프트렌즈(B)"/>
    <s v=""/>
    <n v="48000"/>
    <n v="0"/>
    <n v="0"/>
    <n v="48000"/>
    <n v="0"/>
    <s v="EA"/>
  </r>
  <r>
    <x v="1"/>
    <s v="부자재"/>
    <x v="89"/>
    <s v="알루미늄리드지 (렌즈타운 Lighly Rose 1Day Cacao)_유광 코팅"/>
    <s v="BS0120-001"/>
    <s v="부자재"/>
    <s v="소프트렌즈(B)"/>
    <s v=""/>
    <n v="96000"/>
    <n v="0"/>
    <n v="0"/>
    <n v="96000"/>
    <n v="0"/>
    <s v="EA"/>
  </r>
  <r>
    <x v="1"/>
    <s v="부자재"/>
    <x v="90"/>
    <s v="알루미늄리드지 (일본 sincere FAP 1D 38% UV)_유광 코팅"/>
    <s v="BS0121-002"/>
    <s v="부자재"/>
    <s v="소프트렌즈(B)"/>
    <s v=""/>
    <n v="240000"/>
    <n v="0"/>
    <n v="48000"/>
    <n v="192000"/>
    <n v="0"/>
    <s v="EA"/>
  </r>
  <r>
    <x v="1"/>
    <s v="부자재"/>
    <x v="91"/>
    <s v="알루미늄리드지 (무지-백색_PET12/AL50/CPP50_White 표면인쇄)"/>
    <s v="BS0123-001"/>
    <s v="부자재"/>
    <s v="소프트렌즈(B)"/>
    <s v=""/>
    <n v="0"/>
    <n v="0"/>
    <n v="0"/>
    <n v="0"/>
    <n v="0"/>
    <s v="EA"/>
  </r>
  <r>
    <x v="1"/>
    <s v="부자재"/>
    <x v="92"/>
    <s v="알루미늄리드지 (무지-실버_PET12/AL30/CPP100_알콘 用)"/>
    <s v="BS0124-001"/>
    <s v="부자재"/>
    <s v="소프트렌즈(B)"/>
    <s v=""/>
    <n v="0"/>
    <n v="0"/>
    <n v="0"/>
    <n v="0"/>
    <n v="0"/>
    <s v="EA"/>
  </r>
  <r>
    <x v="1"/>
    <s v="부자재"/>
    <x v="93"/>
    <s v="알루미늄리드지 (일본 sincere MBP 1-Day 리드지)_유광 코팅"/>
    <s v="BS0125-001"/>
    <s v="부자재"/>
    <s v="소프트렌즈(B)"/>
    <s v=""/>
    <n v="0"/>
    <n v="0"/>
    <n v="0"/>
    <n v="0"/>
    <n v="0"/>
    <s v="EA"/>
  </r>
  <r>
    <x v="1"/>
    <s v="부자재"/>
    <x v="94"/>
    <s v="알루미늄리드지 (일본 From eyes Eyecloset UV)_무광 코팅"/>
    <s v="BS0126-002"/>
    <s v="부자재"/>
    <s v="소프트렌즈(B)"/>
    <s v=""/>
    <n v="0"/>
    <n v="0"/>
    <n v="0"/>
    <n v="0"/>
    <n v="0"/>
    <s v="EA"/>
  </r>
  <r>
    <x v="1"/>
    <s v="부자재"/>
    <x v="95"/>
    <s v="알루미늄리드지 (UAE_eyewa_Layala_원데이 리드지)_유광 코팅"/>
    <s v="BS0127-002"/>
    <s v="부자재"/>
    <s v="소프트렌즈(B)"/>
    <s v=""/>
    <n v="389000"/>
    <n v="0"/>
    <n v="0"/>
    <n v="389000"/>
    <n v="0"/>
    <s v="EA"/>
  </r>
  <r>
    <x v="1"/>
    <s v="부자재"/>
    <x v="96"/>
    <s v="알루미늄리드지 (중국 4inlook 1-Day 리드지)_유광 코팅"/>
    <s v="BS0128-001"/>
    <s v="부자재"/>
    <s v="소프트렌즈(B)"/>
    <s v=""/>
    <n v="0"/>
    <n v="0"/>
    <n v="0"/>
    <n v="0"/>
    <n v="0"/>
    <s v="EA"/>
  </r>
  <r>
    <x v="1"/>
    <s v="부자재"/>
    <x v="2"/>
    <s v="알루미늄리드지 (중국향 Clalen RINA 1-Day 리드지)_유광 코팅"/>
    <s v="BS0129-001"/>
    <s v="부자재"/>
    <s v="소프트렌즈(B)"/>
    <s v=""/>
    <n v="0"/>
    <n v="0"/>
    <n v="0"/>
    <n v="0"/>
    <n v="0"/>
    <s v="EA"/>
  </r>
  <r>
    <x v="1"/>
    <s v="부자재"/>
    <x v="97"/>
    <s v="알루미늄리드지 (Iris Toric 헤일로 브라운)_유광 코팅"/>
    <s v="BS0132-001"/>
    <s v="부자재"/>
    <s v="소프트렌즈(B)"/>
    <s v=""/>
    <n v="530000"/>
    <n v="0"/>
    <n v="98000"/>
    <n v="432000"/>
    <n v="0"/>
    <s v="EA"/>
  </r>
  <r>
    <x v="1"/>
    <s v="부자재"/>
    <x v="98"/>
    <s v="알루미늄리드지 (Iris Toric 헤일로 그레이)_유광 코팅"/>
    <s v="BS0133-001"/>
    <s v="부자재"/>
    <s v="소프트렌즈(B)"/>
    <s v=""/>
    <n v="288000"/>
    <n v="0"/>
    <n v="96000"/>
    <n v="192000"/>
    <n v="0"/>
    <s v="EA"/>
  </r>
  <r>
    <x v="1"/>
    <s v="부자재"/>
    <x v="99"/>
    <s v="알루미늄리드지 (체코 Alensa 블루라이트 원데이 리드지)_유광 코팅"/>
    <s v="BS0134-001"/>
    <s v="부자재"/>
    <s v="소프트렌즈(B)"/>
    <s v=""/>
    <n v="558000"/>
    <n v="0"/>
    <n v="105000"/>
    <n v="453000"/>
    <n v="0"/>
    <s v="EA"/>
  </r>
  <r>
    <x v="1"/>
    <s v="부자재"/>
    <x v="100"/>
    <s v="알루미늄리드지 (해외공용 영문 ADRIA 원데이 리드지)_무광 코팅"/>
    <s v="BS0138-001"/>
    <s v="부자재"/>
    <s v="소프트렌즈(B)"/>
    <s v=""/>
    <n v="48000"/>
    <n v="0"/>
    <n v="0"/>
    <n v="48000"/>
    <n v="0"/>
    <s v="EA"/>
  </r>
  <r>
    <x v="1"/>
    <s v="부자재"/>
    <x v="101"/>
    <s v="알루미늄리드지 (중국 EYE QUE 1day 55% Color)_무광 코팅"/>
    <s v="BS0141-002"/>
    <s v="부자재"/>
    <s v="소프트렌즈(B)"/>
    <s v=""/>
    <n v="96000"/>
    <n v="0"/>
    <n v="0"/>
    <n v="96000"/>
    <n v="0"/>
    <s v="EA"/>
  </r>
  <r>
    <x v="1"/>
    <s v="부자재"/>
    <x v="102"/>
    <s v="알루미늄리드지 (중국 POPMAGIC 1-Day 리드지)_유광 코팅"/>
    <s v="BS0142-001"/>
    <s v="부자재"/>
    <s v="소프트렌즈(B)"/>
    <s v=""/>
    <n v="0"/>
    <n v="0"/>
    <n v="0"/>
    <n v="0"/>
    <n v="0"/>
    <s v="EA"/>
  </r>
  <r>
    <x v="1"/>
    <s v="부자재"/>
    <x v="103"/>
    <s v="알루미늄리드지 (일본 PIA 1day 38% mimuco)_유광 코팅"/>
    <s v="BS0145-001"/>
    <s v="부자재"/>
    <s v="소프트렌즈(B)"/>
    <s v=""/>
    <n v="197000"/>
    <n v="0"/>
    <n v="103000"/>
    <n v="94000"/>
    <n v="0"/>
    <s v="EA"/>
  </r>
  <r>
    <x v="1"/>
    <s v="부자재"/>
    <x v="104"/>
    <s v="알루미늄리드지 (독일 4care – Blue light daily metha)_무광 코팅"/>
    <s v="BS0146-002"/>
    <s v="부자재"/>
    <s v="소프트렌즈(B)"/>
    <s v=""/>
    <n v="218000"/>
    <n v="0"/>
    <n v="0"/>
    <n v="218000"/>
    <n v="0"/>
    <s v="EA"/>
  </r>
  <r>
    <x v="1"/>
    <s v="부자재"/>
    <x v="105"/>
    <s v="알루미늄리드지 (New 일본 sincereNaturali 1day clear)_유광 코팅"/>
    <s v="BS0147-001"/>
    <s v="부자재"/>
    <s v="소프트렌즈(B)"/>
    <s v=""/>
    <n v="0"/>
    <n v="0"/>
    <n v="0"/>
    <n v="0"/>
    <n v="0"/>
    <s v="EA"/>
  </r>
  <r>
    <x v="1"/>
    <s v="부자재"/>
    <x v="106"/>
    <s v="알루미늄리드지 (Clalen O2O2 Color 1Day)_무광 코팅"/>
    <s v="BS0149-001"/>
    <s v="부자재"/>
    <s v="소프트렌즈(B)"/>
    <s v=""/>
    <n v="1183000"/>
    <n v="2063000"/>
    <n v="773000"/>
    <n v="2473000"/>
    <n v="0"/>
    <s v="EA"/>
  </r>
  <r>
    <x v="1"/>
    <s v="부자재"/>
    <x v="107"/>
    <s v="알루미늄리드지 (일본 ANW Dopewink 1D 리드지)_유광 코팅"/>
    <s v="BS0150-001"/>
    <s v="부자재"/>
    <s v="소프트렌즈(B)"/>
    <s v=""/>
    <n v="44000"/>
    <n v="0"/>
    <n v="0"/>
    <n v="44000"/>
    <n v="0"/>
    <s v="EA"/>
  </r>
  <r>
    <x v="1"/>
    <s v="부자재"/>
    <x v="108"/>
    <s v="알루미늄리드지 (사우디 Rose Holding_Daya)_무광 코팅"/>
    <s v="BS0151-001"/>
    <s v="부자재"/>
    <s v="소프트렌즈(B)"/>
    <s v=""/>
    <n v="50000"/>
    <n v="0"/>
    <n v="0"/>
    <n v="50000"/>
    <n v="0"/>
    <s v="EA"/>
  </r>
  <r>
    <x v="1"/>
    <s v="부자재"/>
    <x v="109"/>
    <s v="알루미늄리드지 (공용 Alcon Freshlook)_유광 코팅"/>
    <s v="BS0154-001"/>
    <s v="부자재"/>
    <s v="소프트렌즈(B)"/>
    <s v=""/>
    <n v="242000"/>
    <n v="0"/>
    <n v="242000"/>
    <n v="0"/>
    <n v="0"/>
    <s v="EA"/>
  </r>
  <r>
    <x v="1"/>
    <s v="부자재"/>
    <x v="3"/>
    <s v="알루미늄리드지 (공용 Alcon Freshlook CC Lens)_유광 코팅"/>
    <s v="BS0155-001"/>
    <s v="부자재"/>
    <s v="소프트렌즈(B)"/>
    <s v=""/>
    <n v="335000"/>
    <n v="0"/>
    <n v="0"/>
    <n v="335000"/>
    <n v="0"/>
    <s v="EA"/>
  </r>
  <r>
    <x v="1"/>
    <s v="부자재"/>
    <x v="110"/>
    <s v="알루미늄리드지 (공용 하파크리스틴_Secretive Kristin)_유광 코팅"/>
    <s v="BS0156-002"/>
    <s v="부자재"/>
    <s v="소프트렌즈(B)"/>
    <s v=""/>
    <n v="0"/>
    <n v="0"/>
    <n v="0"/>
    <n v="0"/>
    <n v="0"/>
    <s v="EA"/>
  </r>
  <r>
    <x v="1"/>
    <s v="부자재"/>
    <x v="111"/>
    <s v="알루미늄리드지 (Bioxifilcon A Daily 공용 리드지)_무광 코팅"/>
    <s v="BS0159-002"/>
    <s v="부자재"/>
    <s v="소프트렌즈(B)"/>
    <s v=""/>
    <n v="576000"/>
    <n v="0"/>
    <n v="0"/>
    <n v="576000"/>
    <n v="0"/>
    <s v="EA"/>
  </r>
  <r>
    <x v="1"/>
    <s v="부자재"/>
    <x v="112"/>
    <s v="알루미늄리드지 (Clalen Adria 1Day)_무광 코팅"/>
    <s v="BS0160-001"/>
    <s v="부자재"/>
    <s v="소프트렌즈(B)"/>
    <s v=""/>
    <n v="0"/>
    <n v="0"/>
    <n v="0"/>
    <n v="0"/>
    <n v="0"/>
    <s v="EA"/>
  </r>
  <r>
    <x v="1"/>
    <s v="부자재"/>
    <x v="113"/>
    <s v="알루미늄리드지 (Clalen Adria Daily)_무광 코팅"/>
    <s v="BS0161-001"/>
    <s v="부자재"/>
    <s v="소프트렌즈(B)"/>
    <s v=""/>
    <n v="0"/>
    <n v="0"/>
    <n v="0"/>
    <n v="0"/>
    <n v="0"/>
    <s v="EA"/>
  </r>
  <r>
    <x v="1"/>
    <s v="부자재"/>
    <x v="114"/>
    <s v="알루미늄리드지 (국내 OPTACON ZOOM 1-Day)_무광 코팅"/>
    <s v="BS0162-001"/>
    <s v="부자재"/>
    <s v="소프트렌즈(B)"/>
    <s v=""/>
    <n v="97000"/>
    <n v="0"/>
    <n v="0"/>
    <n v="97000"/>
    <n v="0"/>
    <s v="EA"/>
  </r>
  <r>
    <x v="1"/>
    <s v="부자재"/>
    <x v="115"/>
    <s v="알루미늄리드지 (일본 Sincere Namida 1Day 30P)_유광 코팅"/>
    <s v="BS0163-001"/>
    <s v="부자재"/>
    <s v="소프트렌즈(B)"/>
    <s v=""/>
    <n v="0"/>
    <n v="0"/>
    <n v="0"/>
    <n v="0"/>
    <n v="0"/>
    <s v="EA"/>
  </r>
  <r>
    <x v="1"/>
    <s v="부자재"/>
    <x v="116"/>
    <s v="알루미늄리드지 (일본 Sincere Namida 2Week 6P)_유광 코팅"/>
    <s v="BS0164-001"/>
    <s v="부자재"/>
    <s v="소프트렌즈(B)"/>
    <s v=""/>
    <n v="0"/>
    <n v="0"/>
    <n v="0"/>
    <n v="0"/>
    <n v="0"/>
    <s v="EA"/>
  </r>
  <r>
    <x v="1"/>
    <s v="부자재"/>
    <x v="117"/>
    <s v="알루미늄리드지 (일본 하파크리스틴)_유광 코팅"/>
    <s v="BS0166-003"/>
    <s v="부자재"/>
    <s v="소프트렌즈(B)"/>
    <s v=""/>
    <n v="95000"/>
    <n v="0"/>
    <n v="0"/>
    <n v="95000"/>
    <n v="0"/>
    <s v="EA"/>
  </r>
  <r>
    <x v="1"/>
    <s v="부자재"/>
    <x v="118"/>
    <s v="알루미늄리드지 (일본 from-eyes 1D 38% UV 리드지)_무광 코팅"/>
    <s v="BS0169-001"/>
    <s v="부자재"/>
    <s v="소프트렌즈(B)"/>
    <s v=""/>
    <n v="2875000"/>
    <n v="0"/>
    <n v="0"/>
    <n v="2875000"/>
    <n v="0"/>
    <s v="EA"/>
  </r>
  <r>
    <x v="1"/>
    <s v="부자재"/>
    <x v="119"/>
    <s v="알루미늄리드지 (러시아 Bi-focal_8.40_1-day 리드지)_무광 코팅"/>
    <s v="BS0170-001"/>
    <s v="부자재"/>
    <s v="소프트렌즈(B)"/>
    <s v=""/>
    <n v="96000"/>
    <n v="0"/>
    <n v="0"/>
    <n v="96000"/>
    <n v="0"/>
    <s v="EA"/>
  </r>
  <r>
    <x v="1"/>
    <s v="부자재"/>
    <x v="120"/>
    <s v="알루미늄리드지 (일본 sincere 2week premium UV 6p)_유광 코팅"/>
    <s v="BS0172-001"/>
    <s v="부자재"/>
    <s v="소프트렌즈(B)"/>
    <s v=""/>
    <n v="50000"/>
    <n v="0"/>
    <n v="0"/>
    <n v="50000"/>
    <n v="0"/>
    <s v="EA"/>
  </r>
  <r>
    <x v="1"/>
    <s v="부자재"/>
    <x v="121"/>
    <s v="알루미늄리드지 (일본 sincere ITW 1day UV)_유광 코팅"/>
    <s v="BS0173-001"/>
    <s v="부자재"/>
    <s v="소프트렌즈(B)"/>
    <s v=""/>
    <n v="204000"/>
    <n v="0"/>
    <n v="0"/>
    <n v="204000"/>
    <n v="0"/>
    <s v="EA"/>
  </r>
  <r>
    <x v="1"/>
    <s v="부자재"/>
    <x v="122"/>
    <s v="알루미늄리드지 (일본 from eyes 1day 55% pearl)_무광 코팅"/>
    <s v="BS0175-001"/>
    <s v="부자재"/>
    <s v="소프트렌즈(B)"/>
    <s v=""/>
    <n v="0"/>
    <n v="0"/>
    <n v="0"/>
    <n v="0"/>
    <n v="0"/>
    <s v="EA"/>
  </r>
  <r>
    <x v="1"/>
    <s v="부자재"/>
    <x v="123"/>
    <s v="알루미늄리드지 (일본 sincere ITFA 1D 38% UV)_유광 코팅"/>
    <s v="BS0176-001"/>
    <s v="부자재"/>
    <s v="소프트렌즈(B)"/>
    <s v=""/>
    <n v="0"/>
    <n v="240000"/>
    <n v="0"/>
    <n v="240000"/>
    <n v="0"/>
    <s v="EA"/>
  </r>
  <r>
    <x v="1"/>
    <s v="부자재"/>
    <x v="124"/>
    <s v="알루미늄리드지 (Clalen O2O2 1Day_Clear)_무광 코팅"/>
    <s v="BS0178-001"/>
    <s v="부자재"/>
    <s v="소프트렌즈(B)"/>
    <s v=""/>
    <n v="191000"/>
    <n v="0"/>
    <n v="0"/>
    <n v="191000"/>
    <n v="0"/>
    <s v="EA"/>
  </r>
  <r>
    <x v="1"/>
    <s v="부자재"/>
    <x v="125"/>
    <s v="알루미늄리드지 (일본 ANW OvE 1day)_무광 코팅"/>
    <s v="BS0179-001"/>
    <s v="부자재"/>
    <s v="소프트렌즈(B)"/>
    <s v=""/>
    <n v="104000"/>
    <n v="0"/>
    <n v="0"/>
    <n v="104000"/>
    <n v="0"/>
    <s v="EA"/>
  </r>
  <r>
    <x v="1"/>
    <s v="부자재"/>
    <x v="126"/>
    <s v="알루미늄리드지 (PIA_1D 55% episode)_유광 코팅"/>
    <s v="BS0181-001"/>
    <s v="부자재"/>
    <s v="소프트렌즈(B)"/>
    <s v=""/>
    <n v="48000"/>
    <n v="0"/>
    <n v="0"/>
    <n v="48000"/>
    <n v="0"/>
    <s v="EA"/>
  </r>
  <r>
    <x v="1"/>
    <s v="부자재"/>
    <x v="127"/>
    <s v="알루미늄리드지 (다비치렌즈 Mersee Choco)_무광 코팅"/>
    <s v="BS0182-001"/>
    <s v="부자재"/>
    <s v="소프트렌즈(B)"/>
    <s v=""/>
    <n v="54930"/>
    <n v="0"/>
    <n v="0"/>
    <n v="54930"/>
    <n v="0"/>
    <s v="EA"/>
  </r>
  <r>
    <x v="1"/>
    <s v="부자재"/>
    <x v="128"/>
    <s v="알루미늄리드지 (다비치렌즈 Mersee Brown)_무광 코팅"/>
    <s v="BS0183-001"/>
    <s v="부자재"/>
    <s v="소프트렌즈(B)"/>
    <s v=""/>
    <n v="47000"/>
    <n v="0"/>
    <n v="0"/>
    <n v="47000"/>
    <n v="0"/>
    <s v="EA"/>
  </r>
  <r>
    <x v="1"/>
    <s v="부자재"/>
    <x v="129"/>
    <s v="알루미늄리드지 (다비치렌즈 Skatch Brown)_무광 코팅"/>
    <s v="BS0184-001"/>
    <s v="부자재"/>
    <s v="소프트렌즈(B)"/>
    <s v=""/>
    <n v="69000"/>
    <n v="0"/>
    <n v="0"/>
    <n v="69000"/>
    <n v="0"/>
    <s v="EA"/>
  </r>
  <r>
    <x v="1"/>
    <s v="부자재"/>
    <x v="130"/>
    <s v="알루미늄리드지 (다비치렌즈 Skatch Gray)_무광 코팅"/>
    <s v="BS0185-001"/>
    <s v="부자재"/>
    <s v="소프트렌즈(B)"/>
    <s v=""/>
    <n v="100000"/>
    <n v="0"/>
    <n v="0"/>
    <n v="100000"/>
    <n v="0"/>
    <s v="EA"/>
  </r>
  <r>
    <x v="1"/>
    <s v="부자재"/>
    <x v="131"/>
    <s v="알루미늄리드지 (중국 법인_JEWEL MOON 1D Color)_유광 코팅"/>
    <s v="BS0187-001"/>
    <s v="부자재"/>
    <s v="소프트렌즈(B)"/>
    <s v=""/>
    <n v="253000"/>
    <n v="0"/>
    <n v="107000"/>
    <n v="146000"/>
    <n v="0"/>
    <s v="EA"/>
  </r>
  <r>
    <x v="1"/>
    <s v="부자재"/>
    <x v="132"/>
    <s v="알루미늄리드지 (UAE_Rivoli_Sofvue컬러_1day)_무광코팅"/>
    <s v="BS0189-001"/>
    <s v="부자재"/>
    <s v="소프트렌즈(B)"/>
    <s v=""/>
    <n v="0"/>
    <n v="0"/>
    <n v="0"/>
    <n v="0"/>
    <n v="0"/>
    <s v="EA"/>
  </r>
  <r>
    <x v="1"/>
    <s v="부자재"/>
    <x v="133"/>
    <s v="알루미늄리드지 (하파크리스틴_1Day Color)_유광 코팅"/>
    <s v="BS0191-003"/>
    <s v="부자재"/>
    <s v="소프트렌즈(B)"/>
    <s v=""/>
    <n v="260000"/>
    <n v="0"/>
    <n v="0"/>
    <n v="260000"/>
    <n v="0"/>
    <s v="EA"/>
  </r>
  <r>
    <x v="1"/>
    <s v="부자재"/>
    <x v="134"/>
    <s v="알루미늄리드지 (Clalen O2O2 Color 1Day_Toric)_무광 코팅"/>
    <s v="BS0192-001"/>
    <s v="부자재"/>
    <s v="소프트렌즈(B)"/>
    <s v=""/>
    <n v="570000"/>
    <n v="0"/>
    <n v="0"/>
    <n v="570000"/>
    <n v="0"/>
    <s v="EA"/>
  </r>
  <r>
    <x v="1"/>
    <s v="부자재"/>
    <x v="135"/>
    <s v="알루미늄리드지 (태국 MG Medical Group SISSE ONE DAY MINI JEJE BRONZE)_무광 코팅"/>
    <s v="BS0193-002"/>
    <s v="부자재"/>
    <s v="소프트렌즈(B)"/>
    <s v=""/>
    <n v="48000"/>
    <n v="0"/>
    <n v="0"/>
    <n v="48000"/>
    <n v="0"/>
    <s v="EA"/>
  </r>
  <r>
    <x v="1"/>
    <s v="부자재"/>
    <x v="136"/>
    <s v="알루미늄리드지 (중국 NAIBOLE 1day 58%)_유광 코팅"/>
    <s v="BS0195-001"/>
    <s v="부자재"/>
    <s v="소프트렌즈(B)"/>
    <s v=""/>
    <n v="0"/>
    <n v="0"/>
    <n v="0"/>
    <n v="0"/>
    <n v="0"/>
    <s v="EA"/>
  </r>
  <r>
    <x v="1"/>
    <s v="부자재"/>
    <x v="137"/>
    <s v="알루미늄리드지 (중국 하파크리스틴_1Day Color)_유광 코팅"/>
    <s v="BS0196-001"/>
    <s v="부자재"/>
    <s v="소프트렌즈(B)"/>
    <s v=""/>
    <n v="0"/>
    <n v="0"/>
    <n v="0"/>
    <n v="0"/>
    <n v="0"/>
    <s v="EA"/>
  </r>
  <r>
    <x v="1"/>
    <s v="부자재"/>
    <x v="138"/>
    <s v="알루미늄리드지 (PIA_1D 38% PUUUUCHU)_유광 코팅"/>
    <s v="BS0197-001"/>
    <s v="부자재"/>
    <s v="소프트렌즈(B)"/>
    <s v=""/>
    <n v="0"/>
    <n v="0"/>
    <n v="0"/>
    <n v="0"/>
    <n v="0"/>
    <s v="EA"/>
  </r>
  <r>
    <x v="1"/>
    <s v="부자재"/>
    <x v="139"/>
    <s v="알루미늄리드지 (PIA_1D 38% Lumie U)_유광 코팅"/>
    <s v="BS0198-001"/>
    <s v="부자재"/>
    <s v="소프트렌즈(B)"/>
    <s v=""/>
    <n v="192000"/>
    <n v="0"/>
    <n v="0"/>
    <n v="192000"/>
    <n v="0"/>
    <s v="EA"/>
  </r>
  <r>
    <x v="1"/>
    <s v="부자재"/>
    <x v="140"/>
    <s v="알루미늄리드지 (하파크리스틴_1Day Color Toric)_유광 코팅"/>
    <s v="BS0201-002"/>
    <s v="부자재"/>
    <s v="소프트렌즈(B)"/>
    <s v=""/>
    <n v="92000"/>
    <n v="0"/>
    <n v="0"/>
    <n v="92000"/>
    <n v="0"/>
    <s v="EA"/>
  </r>
  <r>
    <x v="1"/>
    <s v="부자재"/>
    <x v="141"/>
    <s v="알루미늄리드지(중국 CoFACNY 1Day Color P시리즈) 유광 코팅"/>
    <s v="BS0202-001"/>
    <s v="부자재"/>
    <s v="소프트렌즈(B)"/>
    <s v=""/>
    <n v="0"/>
    <n v="0"/>
    <n v="0"/>
    <n v="0"/>
    <n v="0"/>
    <s v="EA"/>
  </r>
  <r>
    <x v="1"/>
    <s v="부자재"/>
    <x v="142"/>
    <s v="알루미늄리드지 (OSC DYE 원데이 리드지)_유광코팅"/>
    <s v="BS0204-002"/>
    <s v="부자재"/>
    <s v="소프트렌즈(B)"/>
    <s v=""/>
    <n v="240000"/>
    <n v="0"/>
    <n v="0"/>
    <n v="240000"/>
    <n v="0"/>
    <s v="EA"/>
  </r>
  <r>
    <x v="1"/>
    <s v="부자재"/>
    <x v="143"/>
    <s v="알루미늄리드지 (PIA_1D 55% mimuco Toric리드지)_유광코팅"/>
    <s v="BS0205-001"/>
    <s v="부자재"/>
    <s v="소프트렌즈(B)"/>
    <s v=""/>
    <n v="143000"/>
    <n v="0"/>
    <n v="0"/>
    <n v="143000"/>
    <n v="0"/>
    <s v="EA"/>
  </r>
  <r>
    <x v="1"/>
    <s v="부자재"/>
    <x v="144"/>
    <s v="알루미늄리드지(중국 CoFANCY 1Day Color D시리즈) 유광 코팅"/>
    <s v="BS0206-001"/>
    <s v="부자재"/>
    <s v="소프트렌즈(B)"/>
    <s v=""/>
    <n v="0"/>
    <n v="0"/>
    <n v="0"/>
    <n v="0"/>
    <n v="0"/>
    <s v="EA"/>
  </r>
  <r>
    <x v="1"/>
    <s v="부자재"/>
    <x v="145"/>
    <s v="알루미늄리드지 (Moody nanodat 탄수화물 6P)_유광 코팅"/>
    <s v="BS0207-001"/>
    <s v="부자재"/>
    <s v="소프트렌즈(B)"/>
    <s v=""/>
    <n v="437400"/>
    <n v="0"/>
    <n v="0"/>
    <n v="437400"/>
    <n v="0"/>
    <s v="EA"/>
  </r>
  <r>
    <x v="1"/>
    <s v="부자재"/>
    <x v="146"/>
    <s v="알루미늄리드지 (스타비젼 O2 Edition)_유광 코팅"/>
    <s v="BS0208-001"/>
    <s v="부자재"/>
    <s v="소프트렌즈(B)"/>
    <s v=""/>
    <n v="337000"/>
    <n v="0"/>
    <n v="240000"/>
    <n v="97000"/>
    <n v="0"/>
    <s v="EA"/>
  </r>
  <r>
    <x v="1"/>
    <s v="부자재"/>
    <x v="147"/>
    <s v="알루미늄리드지 (Moody nanodat 탄수화물 20P)_유광 코팅"/>
    <s v="BS0209-001"/>
    <s v="부자재"/>
    <s v="소프트렌즈(B)"/>
    <s v=""/>
    <n v="92000"/>
    <n v="0"/>
    <n v="0"/>
    <n v="92000"/>
    <n v="0"/>
    <s v="EA"/>
  </r>
  <r>
    <x v="1"/>
    <s v="부자재"/>
    <x v="148"/>
    <s v="알루미늄리드지 (Moody nanodat 6M 탄수화물)_유광 중사각"/>
    <s v="BS0210-001"/>
    <s v="부자재"/>
    <s v="소프트렌즈(B)"/>
    <s v=""/>
    <n v="158303"/>
    <n v="0"/>
    <n v="0"/>
    <n v="158303"/>
    <n v="0"/>
    <s v="EA"/>
  </r>
  <r>
    <x v="1"/>
    <s v="부자재"/>
    <x v="149"/>
    <s v="알루미늄리드지 (폴란드 FML eyeVista Metha1Day 리드지)_유광 코팅"/>
    <s v="BS0212-001"/>
    <s v="부자재"/>
    <s v="소프트렌즈(B)"/>
    <s v=""/>
    <n v="0"/>
    <n v="0"/>
    <n v="0"/>
    <n v="0"/>
    <n v="0"/>
    <s v="EA"/>
  </r>
  <r>
    <x v="1"/>
    <s v="부자재"/>
    <x v="150"/>
    <s v="알루미늄리드지 (한국_젬아워(SiHy 1M)_공용 중사각 리드지)"/>
    <s v="BS0213-001"/>
    <s v="부자재"/>
    <s v="소프트렌즈(B)"/>
    <s v=""/>
    <n v="0"/>
    <n v="0"/>
    <n v="0"/>
    <n v="0"/>
    <n v="0"/>
    <s v="EA"/>
  </r>
  <r>
    <x v="1"/>
    <s v="부자재"/>
    <x v="4"/>
    <s v="알루미늄리드지 (Bella 리뉴얼 원데이 리드지(아랍))_유광코팅"/>
    <s v="BS0214-001"/>
    <s v="부자재"/>
    <s v="소프트렌즈(B)"/>
    <s v=""/>
    <n v="241000"/>
    <n v="0"/>
    <n v="0"/>
    <n v="241000"/>
    <n v="0"/>
    <s v="EA"/>
  </r>
  <r>
    <x v="1"/>
    <s v="부자재"/>
    <x v="151"/>
    <s v="알루미늄리드지 (Hioxifilcon A Daily 공용 리드지)_무광 코팅"/>
    <s v="BS0215-001"/>
    <s v="부자재"/>
    <s v="소프트렌즈(B)"/>
    <s v=""/>
    <n v="0"/>
    <n v="0"/>
    <n v="0"/>
    <n v="0"/>
    <n v="0"/>
    <s v="EA"/>
  </r>
  <r>
    <x v="1"/>
    <s v="부자재"/>
    <x v="152"/>
    <s v="알루미늄리드지 (미국 HAPA 1M 중사각 인쇄 리드지)_유광코팅"/>
    <s v="BS0216-001"/>
    <s v="부자재"/>
    <s v="소프트렌즈(B)"/>
    <s v=""/>
    <n v="50000"/>
    <n v="0"/>
    <n v="0"/>
    <n v="50000"/>
    <n v="0"/>
    <s v="EA"/>
  </r>
  <r>
    <x v="1"/>
    <s v="부자재"/>
    <x v="153"/>
    <s v="알루미늄리드지 (러시아 Optic Center ADRIA WOW 리드지)_무광코팅"/>
    <s v="BS0217-001"/>
    <s v="부자재"/>
    <s v="소프트렌즈(B)"/>
    <s v=""/>
    <n v="100000"/>
    <n v="0"/>
    <n v="0"/>
    <n v="100000"/>
    <n v="0"/>
    <s v="EA"/>
  </r>
  <r>
    <x v="1"/>
    <s v="부자재"/>
    <x v="154"/>
    <s v="알루미늄리드지 (한국_하파크리스틴(1M) 핑크 중사각 인쇄 리드지)_유광코팅"/>
    <s v="BS0219-001"/>
    <s v="부자재"/>
    <s v="소프트렌즈(B)"/>
    <s v=""/>
    <n v="143968"/>
    <n v="0"/>
    <n v="9600"/>
    <n v="134368"/>
    <n v="0"/>
    <s v="EA"/>
  </r>
  <r>
    <x v="1"/>
    <s v="부자재"/>
    <x v="155"/>
    <s v="알루미늄리드지 (러시아 Optic Center ADRIA MIX 리드지)_무광코팅"/>
    <s v="BS0220-001"/>
    <s v="부자재"/>
    <s v="소프트렌즈(B)"/>
    <s v=""/>
    <n v="100000"/>
    <n v="0"/>
    <n v="0"/>
    <n v="100000"/>
    <n v="0"/>
    <s v="EA"/>
  </r>
  <r>
    <x v="1"/>
    <s v="부자재"/>
    <x v="156"/>
    <s v="알루미늄리드지 (한국_젬아워(1D) 블랙 리드지)_유광코팅"/>
    <s v="BS0223-001"/>
    <s v="부자재"/>
    <s v="소프트렌즈(B)"/>
    <s v=""/>
    <n v="212000"/>
    <n v="0"/>
    <n v="0"/>
    <n v="212000"/>
    <n v="0"/>
    <s v="EA"/>
  </r>
  <r>
    <x v="1"/>
    <s v="부자재"/>
    <x v="157"/>
    <s v="알루미늄리드지 (중국_Moody(1D) Wicked Games 6P)_유광코팅"/>
    <s v="BS0224-001"/>
    <s v="부자재"/>
    <s v="소프트렌즈(B)"/>
    <s v=""/>
    <n v="218800"/>
    <n v="0"/>
    <n v="0"/>
    <n v="218800"/>
    <n v="0"/>
    <s v="EA"/>
  </r>
  <r>
    <x v="1"/>
    <s v="부자재"/>
    <x v="158"/>
    <s v="알루미늄리드지 (이탈리아 Marshal SiHy 1Day 리드지)"/>
    <s v="BS0226-001"/>
    <s v="부자재"/>
    <s v="소프트렌즈(B)"/>
    <s v=""/>
    <n v="0"/>
    <n v="0"/>
    <n v="0"/>
    <n v="0"/>
    <n v="0"/>
    <s v="EA"/>
  </r>
  <r>
    <x v="1"/>
    <s v="부자재"/>
    <x v="159"/>
    <s v="알루미늄리드지(윙크컴퍼니 Winc Clear Air Plus 1Day)_유광 코팅"/>
    <s v="BS0227-002"/>
    <s v="부자재"/>
    <s v="소프트렌즈(B)"/>
    <s v=""/>
    <n v="0"/>
    <n v="0"/>
    <n v="0"/>
    <n v="0"/>
    <n v="0"/>
    <s v="EA"/>
  </r>
  <r>
    <x v="1"/>
    <s v="부자재"/>
    <x v="160"/>
    <s v="알루미늄리드지 (Clalen O2O2 1Day Toric_Clear)_유광 코팅"/>
    <s v="BS0228-001"/>
    <s v="부자재"/>
    <s v="소프트렌즈(B)"/>
    <s v=""/>
    <n v="1044000"/>
    <n v="0"/>
    <n v="0"/>
    <n v="1044000"/>
    <n v="0"/>
    <s v="EA"/>
  </r>
  <r>
    <x v="1"/>
    <s v="부자재"/>
    <x v="161"/>
    <s v="알루미늄리드지 (중국_Moody(1D) Wicked Games 2,20P)_유광코팅"/>
    <s v="BS0229-001"/>
    <s v="부자재"/>
    <s v="소프트렌즈(B)"/>
    <s v=""/>
    <n v="232000"/>
    <n v="0"/>
    <n v="0"/>
    <n v="232000"/>
    <n v="0"/>
    <s v="EA"/>
  </r>
  <r>
    <x v="1"/>
    <s v="부자재"/>
    <x v="162"/>
    <s v="알루미늄리드지 일본 ANW Hapa Kristin (이브)_유광 코팅"/>
    <s v="BS0230-002"/>
    <s v="부자재"/>
    <s v="소프트렌즈(B)"/>
    <s v=""/>
    <n v="479000"/>
    <n v="0"/>
    <n v="0"/>
    <n v="479000"/>
    <n v="0"/>
    <s v="EA"/>
  </r>
  <r>
    <x v="1"/>
    <s v="부자재"/>
    <x v="163"/>
    <s v="알루미늄리드지(윙크컴퍼니 Winc Clear 1Day)_유광 코팅"/>
    <s v="BS0231-001"/>
    <s v="부자재"/>
    <s v="소프트렌즈(B)"/>
    <s v=""/>
    <n v="235000"/>
    <n v="0"/>
    <n v="0"/>
    <n v="235000"/>
    <n v="0"/>
    <s v="EA"/>
  </r>
  <r>
    <x v="1"/>
    <s v="부자재"/>
    <x v="164"/>
    <s v="알루미늄리드지 (한국_미문도(1D) 리드지)_유광코팅"/>
    <s v="BS0233-001"/>
    <s v="부자재"/>
    <s v="소프트렌즈(B)"/>
    <s v=""/>
    <n v="0"/>
    <n v="0"/>
    <n v="0"/>
    <n v="0"/>
    <n v="0"/>
    <s v="EA"/>
  </r>
  <r>
    <x v="1"/>
    <s v="부자재"/>
    <x v="165"/>
    <s v="알루미늄리드지(PIA_1D 55% Clainel 리드지)_무광코팅"/>
    <s v="BS0235-001"/>
    <s v="부자재"/>
    <s v="소프트렌즈(B)"/>
    <s v=""/>
    <n v="1279000"/>
    <n v="0"/>
    <n v="0"/>
    <n v="1279000"/>
    <n v="0"/>
    <s v="EA"/>
  </r>
  <r>
    <x v="1"/>
    <s v="부자재"/>
    <x v="166"/>
    <s v="알루미늄리드지 (ANW_1D 55% OvE Toric리드지)"/>
    <s v="BS0238-001"/>
    <s v="부자재"/>
    <s v="소프트렌즈(B)"/>
    <s v=""/>
    <n v="249000"/>
    <n v="0"/>
    <n v="0"/>
    <n v="249000"/>
    <n v="0"/>
    <s v="EA"/>
  </r>
  <r>
    <x v="1"/>
    <s v="부자재"/>
    <x v="167"/>
    <s v="알루미늄리드지 (PIA_1D 55% Lumie-U Toric리드지)"/>
    <s v="BS0241-001"/>
    <s v="부자재"/>
    <s v="소프트렌즈(B)"/>
    <s v=""/>
    <n v="431000"/>
    <n v="0"/>
    <n v="0"/>
    <n v="431000"/>
    <n v="0"/>
    <s v="EA"/>
  </r>
  <r>
    <x v="1"/>
    <s v="부자재"/>
    <x v="168"/>
    <s v="알루미늄리드지 (PIA_1D 55% Melloew 리드지)"/>
    <s v="BS0242-001"/>
    <s v="부자재"/>
    <s v="소프트렌즈(B)"/>
    <s v=""/>
    <n v="192000"/>
    <n v="0"/>
    <n v="48000"/>
    <n v="144000"/>
    <n v="0"/>
    <s v="EA"/>
  </r>
  <r>
    <x v="1"/>
    <s v="부자재"/>
    <x v="169"/>
    <s v="알루미늄리드지 (영국 FGC SiHy 1Day 리드지)"/>
    <s v="BS0243-001"/>
    <s v="부자재"/>
    <s v="소프트렌즈(B)"/>
    <s v=""/>
    <n v="0"/>
    <n v="0"/>
    <n v="0"/>
    <n v="0"/>
    <n v="0"/>
    <s v="EA"/>
  </r>
  <r>
    <x v="1"/>
    <s v="부자재"/>
    <x v="170"/>
    <s v="알루미늄리드지 (중국 LEMONADE 1D Self Love)_유광코팅"/>
    <s v="BS0244-001"/>
    <s v="부자재"/>
    <s v="소프트렌즈(B)"/>
    <s v=""/>
    <n v="0"/>
    <n v="0"/>
    <n v="0"/>
    <n v="0"/>
    <n v="0"/>
    <s v="EA"/>
  </r>
  <r>
    <x v="1"/>
    <s v="부자재"/>
    <x v="171"/>
    <s v="알루미늄리드지 (PIA_1D 55% Faloom 리드지)"/>
    <s v="BS0245-001"/>
    <s v="부자재"/>
    <s v="소프트렌즈(B)"/>
    <s v=""/>
    <n v="131000"/>
    <n v="0"/>
    <n v="0"/>
    <n v="131000"/>
    <n v="0"/>
    <s v="EA"/>
  </r>
  <r>
    <x v="1"/>
    <s v="부자재"/>
    <x v="172"/>
    <s v="알루미늄리드지 (From-eyes_1D 38% O&amp;ME 리드지)"/>
    <s v="BS0246-001"/>
    <s v="부자재"/>
    <s v="소프트렌즈(B)"/>
    <s v=""/>
    <n v="208000"/>
    <n v="0"/>
    <n v="0"/>
    <n v="208000"/>
    <n v="0"/>
    <s v="EA"/>
  </r>
  <r>
    <x v="1"/>
    <s v="부자재"/>
    <x v="173"/>
    <s v="알루미늄리드지 (일본 T-garden_1D 55% Cheritta)_유광코팅"/>
    <s v="BS0248-001"/>
    <s v="부자재"/>
    <s v="소프트렌즈(B)"/>
    <s v=""/>
    <n v="96000"/>
    <n v="0"/>
    <n v="0"/>
    <n v="96000"/>
    <n v="0"/>
    <s v="EA"/>
  </r>
  <r>
    <x v="1"/>
    <s v="부자재"/>
    <x v="174"/>
    <s v="알루미늄리드지 (츄렌즈_1Month Color)_유광 코팅"/>
    <s v="BS0250-001"/>
    <s v="부자재"/>
    <s v="소프트렌즈(B)"/>
    <s v=""/>
    <n v="0"/>
    <n v="0"/>
    <n v="0"/>
    <n v="0"/>
    <n v="0"/>
    <s v="EA"/>
  </r>
  <r>
    <x v="1"/>
    <s v="부자재"/>
    <x v="175"/>
    <s v="알루미늄리드지_일본 ANW Hapa Kristin(1M) 이브_유광코팅"/>
    <s v="BS0252-001"/>
    <s v="부자재"/>
    <s v="소프트렌즈(B)"/>
    <s v=""/>
    <n v="74925"/>
    <n v="0"/>
    <n v="0"/>
    <n v="74925"/>
    <n v="0"/>
    <s v="EA"/>
  </r>
  <r>
    <x v="1"/>
    <s v="부자재"/>
    <x v="176"/>
    <s v="알루미늄리드지 (중국 LEMONADE 1D Si-Hy)_유광코팅"/>
    <s v="BS0253-001"/>
    <s v="부자재"/>
    <s v="소프트렌즈(B)"/>
    <s v=""/>
    <n v="194000"/>
    <n v="0"/>
    <n v="0"/>
    <n v="194000"/>
    <n v="0"/>
    <s v="EA"/>
  </r>
  <r>
    <x v="1"/>
    <s v="부자재"/>
    <x v="177"/>
    <s v=" 알루미늄리드지 (중국 LEMONADE 1D Hydrogel 한국어)_유광코팅"/>
    <s v="BS0254-001"/>
    <s v="부자재"/>
    <s v="소프트렌즈(B)"/>
    <s v=""/>
    <n v="0"/>
    <n v="0"/>
    <n v="0"/>
    <n v="0"/>
    <n v="0"/>
    <s v="EA"/>
  </r>
  <r>
    <x v="1"/>
    <s v="부자재"/>
    <x v="178"/>
    <s v="알루미늄리드지 (UAE_SKY OPTICAL_리드지)"/>
    <s v="BS0255-001"/>
    <s v="부자재"/>
    <s v="소프트렌즈(B)"/>
    <s v=""/>
    <n v="0"/>
    <n v="0"/>
    <n v="0"/>
    <n v="0"/>
    <n v="0"/>
    <s v="EA"/>
  </r>
  <r>
    <x v="1"/>
    <s v="부자재"/>
    <x v="179"/>
    <s v="알루미늄리드지 (중국_Moody(1D) Hello Kitty 6P)_유광코팅"/>
    <s v="BS0257-001"/>
    <s v="부자재"/>
    <s v="소프트렌즈(B)"/>
    <s v=""/>
    <n v="28800"/>
    <n v="0"/>
    <n v="0"/>
    <n v="28800"/>
    <n v="0"/>
    <s v="EA"/>
  </r>
  <r>
    <x v="1"/>
    <s v="부자재"/>
    <x v="180"/>
    <s v="알루미늄리드지 ((주)코코엘 Lighly AQUA Plus 1Day)_유광 코팅"/>
    <s v="BS0259-001"/>
    <s v="부자재"/>
    <s v="소프트렌즈(B)"/>
    <s v=""/>
    <n v="192000"/>
    <n v="0"/>
    <n v="0"/>
    <n v="192000"/>
    <n v="0"/>
    <s v="EA"/>
  </r>
  <r>
    <x v="1"/>
    <s v="부자재"/>
    <x v="181"/>
    <s v="알루미늄리드지 ((주)코코엘 Lighly AQUA 1Day)_유광 코팅"/>
    <s v="BS0260-001"/>
    <s v="부자재"/>
    <s v="소프트렌즈(B)"/>
    <s v=""/>
    <n v="241000"/>
    <n v="0"/>
    <n v="0"/>
    <n v="241000"/>
    <n v="0"/>
    <s v="EA"/>
  </r>
  <r>
    <x v="1"/>
    <s v="부자재"/>
    <x v="182"/>
    <s v="알루미늄리드지 (PIA_1D 55% Resay 리드지)"/>
    <s v="BS0261-001"/>
    <s v="부자재"/>
    <s v="소프트렌즈(B)"/>
    <s v=""/>
    <n v="459000"/>
    <n v="0"/>
    <n v="0"/>
    <n v="459000"/>
    <n v="0"/>
    <s v="EA"/>
  </r>
  <r>
    <x v="1"/>
    <s v="부자재"/>
    <x v="183"/>
    <s v="알루미늄리드지 (영국 FGC SiHy 1Day MF 리드지)"/>
    <s v="BS0263-001"/>
    <s v="부자재"/>
    <s v="소프트렌즈(B)"/>
    <s v=""/>
    <n v="0"/>
    <n v="0"/>
    <n v="0"/>
    <n v="0"/>
    <n v="0"/>
    <s v="EA"/>
  </r>
  <r>
    <x v="1"/>
    <s v="부자재"/>
    <x v="184"/>
    <s v="알루미늄리드지 (영국 FGC Metha1Day Color 리드지)"/>
    <s v="BS0264-001"/>
    <s v="부자재"/>
    <s v="소프트렌즈(B)"/>
    <s v=""/>
    <n v="138000"/>
    <n v="0"/>
    <n v="0"/>
    <n v="138000"/>
    <n v="0"/>
    <s v="EA"/>
  </r>
  <r>
    <x v="1"/>
    <s v="부자재"/>
    <x v="185"/>
    <s v="알루미늄리드지 (태국 MG Medical Group_HYA 중사각 인쇄 리드지)_무광코팅"/>
    <s v="BS0265-001"/>
    <s v="부자재"/>
    <s v="소프트렌즈(B)"/>
    <s v=""/>
    <n v="0"/>
    <n v="201600"/>
    <n v="0"/>
    <n v="201600"/>
    <n v="0"/>
    <s v="EA"/>
  </r>
  <r>
    <x v="1"/>
    <s v="부자재"/>
    <x v="186"/>
    <s v="알루미늄리드지 (태국 MG M_GLAM Nature Brown 중사각 인쇄 리드지)"/>
    <s v="BS0266-001"/>
    <s v="부자재"/>
    <s v="소프트렌즈(B)"/>
    <s v=""/>
    <n v="138438"/>
    <n v="0"/>
    <n v="19200"/>
    <n v="119238"/>
    <n v="0"/>
    <s v="EA"/>
  </r>
  <r>
    <x v="1"/>
    <s v="부자재"/>
    <x v="187"/>
    <s v="알루미늄리드지 (태국 MG M_GLAM No.1 Hazel 중사각 인쇄 리드지)"/>
    <s v="BS0270-001"/>
    <s v="부자재"/>
    <s v="소프트렌즈(B)"/>
    <s v=""/>
    <n v="16667"/>
    <n v="288000"/>
    <n v="141467"/>
    <n v="163200"/>
    <n v="0"/>
    <s v="EA"/>
  </r>
  <r>
    <x v="1"/>
    <s v="부자재"/>
    <x v="188"/>
    <s v="알루미늄리드지 (태국 MG M_GLAM Perfect Brown 중사각 인쇄 리드지)"/>
    <s v="BS0271-001"/>
    <s v="부자재"/>
    <s v="소프트렌즈(B)"/>
    <s v=""/>
    <n v="151970"/>
    <n v="0"/>
    <n v="9600"/>
    <n v="142370"/>
    <n v="0"/>
    <s v="EA"/>
  </r>
  <r>
    <x v="1"/>
    <s v="부자재"/>
    <x v="189"/>
    <s v="알루미늄리드지 (태국 MG M_GLAM Glow Hazel 중사각 인쇄 리드지)"/>
    <s v="BS0272-002"/>
    <s v="부자재"/>
    <s v="소프트렌즈(B)"/>
    <s v=""/>
    <n v="166663"/>
    <n v="0"/>
    <n v="28800"/>
    <n v="137863"/>
    <n v="0"/>
    <s v="EA"/>
  </r>
  <r>
    <x v="1"/>
    <s v="부자재"/>
    <x v="190"/>
    <s v="알루미늄리드지 (Bella 리뉴얼 원데이 리드지(사우디))"/>
    <s v="BS0273-001"/>
    <s v="부자재"/>
    <s v="소프트렌즈(B)"/>
    <s v=""/>
    <n v="192000"/>
    <n v="0"/>
    <n v="0"/>
    <n v="192000"/>
    <n v="0"/>
    <s v="EA"/>
  </r>
  <r>
    <x v="1"/>
    <s v="부자재"/>
    <x v="191"/>
    <s v="알루미늄리드지 (태국 MG M_GLAM Russian Gray 중사각 인쇄 리드지)"/>
    <s v="BS0274-001"/>
    <s v="부자재"/>
    <s v="소프트렌즈(B)"/>
    <s v=""/>
    <n v="66550"/>
    <n v="0"/>
    <n v="0"/>
    <n v="66550"/>
    <n v="0"/>
    <s v="EA"/>
  </r>
  <r>
    <x v="1"/>
    <s v="부자재"/>
    <x v="192"/>
    <s v="알루미늄리드지 (태국 MG M_GLAM Russian Brown 중사각 인쇄 리드지)"/>
    <s v="BS0275-001"/>
    <s v="부자재"/>
    <s v="소프트렌즈(B)"/>
    <s v=""/>
    <n v="42400"/>
    <n v="0"/>
    <n v="0"/>
    <n v="42400"/>
    <n v="0"/>
    <s v="EA"/>
  </r>
  <r>
    <x v="1"/>
    <s v="부자재"/>
    <x v="193"/>
    <s v="알루미늄리드지 (Iris-10P)_유광 코팅"/>
    <s v="BS0278-001"/>
    <s v="부자재"/>
    <s v="소프트렌즈(B)"/>
    <s v=""/>
    <n v="484000"/>
    <n v="0"/>
    <n v="0"/>
    <n v="484000"/>
    <n v="0"/>
    <s v="EA"/>
  </r>
  <r>
    <x v="1"/>
    <s v="부자재"/>
    <x v="194"/>
    <s v="알루미늄리드지 (일본 HAPA(PIA) 1D 55% Sugar High Kristin)"/>
    <s v="BS0279-001"/>
    <s v="부자재"/>
    <s v="소프트렌즈(B)"/>
    <s v=""/>
    <n v="0"/>
    <n v="0"/>
    <n v="0"/>
    <n v="0"/>
    <n v="0"/>
    <s v="EA"/>
  </r>
  <r>
    <x v="1"/>
    <s v="부자재"/>
    <x v="195"/>
    <s v="알루미늄리드지 (일본 HAPA(PIA) 1D 55% Sugar High Kristin Plus)"/>
    <s v="BS0280-001"/>
    <s v="부자재"/>
    <s v="소프트렌즈(B)"/>
    <s v=""/>
    <n v="296000"/>
    <n v="0"/>
    <n v="0"/>
    <n v="296000"/>
    <n v="0"/>
    <s v="EA"/>
  </r>
  <r>
    <x v="1"/>
    <s v="부자재"/>
    <x v="196"/>
    <s v="알루미늄리드지 (일본 HAPA(PIA) 1D 38% First Love Kristin)"/>
    <s v="BS0281-001"/>
    <s v="부자재"/>
    <s v="소프트렌즈(B)"/>
    <s v=""/>
    <n v="388000"/>
    <n v="0"/>
    <n v="0"/>
    <n v="388000"/>
    <n v="0"/>
    <s v="EA"/>
  </r>
  <r>
    <x v="1"/>
    <s v="부자재"/>
    <x v="197"/>
    <s v="알루미늄리드지 (중국 Lensmart_Clalen_55% Metha 1Day_30P)"/>
    <s v="BS0284-001"/>
    <s v="부자재"/>
    <s v="소프트렌즈(B)"/>
    <s v=""/>
    <n v="424000"/>
    <n v="0"/>
    <n v="0"/>
    <n v="424000"/>
    <n v="0"/>
    <s v="EA"/>
  </r>
  <r>
    <x v="1"/>
    <s v="부자재"/>
    <x v="198"/>
    <s v="알루미늄리드지 (PIA_1D 55% EyeStar 리드지)"/>
    <s v="BS0285-001"/>
    <s v="부자재"/>
    <s v="소프트렌즈(B)"/>
    <s v=""/>
    <n v="288000"/>
    <n v="0"/>
    <n v="0"/>
    <n v="288000"/>
    <n v="0"/>
    <s v="EA"/>
  </r>
  <r>
    <x v="1"/>
    <s v="부자재"/>
    <x v="199"/>
    <s v="알루미늄리드지 (하파크리스틴_1Day Color)_14.5 유광 코팅"/>
    <s v="BS0286-001"/>
    <s v="부자재"/>
    <s v="소프트렌즈(B)"/>
    <s v=""/>
    <n v="139000"/>
    <n v="0"/>
    <n v="0"/>
    <n v="139000"/>
    <n v="0"/>
    <s v="EA"/>
  </r>
  <r>
    <x v="1"/>
    <s v="부자재"/>
    <x v="200"/>
    <s v="알루미늄리드지 (일본 HAPA(PIA) 1D 38% One&amp;Only Kristin Big Plus 리드지)"/>
    <s v="BS0287-001"/>
    <s v="부자재"/>
    <s v="소프트렌즈(B)"/>
    <s v=""/>
    <n v="96000"/>
    <n v="0"/>
    <n v="0"/>
    <n v="96000"/>
    <n v="0"/>
    <s v="EA"/>
  </r>
  <r>
    <x v="1"/>
    <s v="부자재"/>
    <x v="201"/>
    <s v="알루미늄리드지 (일본 HAPA(PIA) 1D 38% One&amp;Only Kristin Plus 리드지)"/>
    <s v="BS0288-001"/>
    <s v="부자재"/>
    <s v="소프트렌즈(B)"/>
    <s v=""/>
    <n v="139000"/>
    <n v="0"/>
    <n v="0"/>
    <n v="139000"/>
    <n v="0"/>
    <s v="EA"/>
  </r>
  <r>
    <x v="1"/>
    <s v="부자재"/>
    <x v="202"/>
    <s v="알루미늄리드지 (러시아 OKVISION_MiracleView Sph)"/>
    <s v="BS0299-001"/>
    <s v="부자재"/>
    <s v="소프트렌즈(B)"/>
    <s v=""/>
    <n v="356000"/>
    <n v="0"/>
    <n v="0"/>
    <n v="356000"/>
    <n v="0"/>
    <s v="EA"/>
  </r>
  <r>
    <x v="1"/>
    <s v="부자재"/>
    <x v="203"/>
    <s v="알루미늄리드지 (이탈리아 Esoform SiHy 1Day 리드지)"/>
    <s v="BS0300-001"/>
    <s v="부자재"/>
    <s v="소프트렌즈(B)"/>
    <s v=""/>
    <n v="281000"/>
    <n v="0"/>
    <n v="0"/>
    <n v="281000"/>
    <n v="0"/>
    <s v="EA"/>
  </r>
  <r>
    <x v="1"/>
    <s v="부자재"/>
    <x v="204"/>
    <s v="알루미늄리드지(Lighly Creamy 1Day Choco_30P)"/>
    <s v="BS0304-001"/>
    <s v="부자재"/>
    <s v="소프트렌즈(B)"/>
    <s v=""/>
    <n v="384000"/>
    <n v="0"/>
    <n v="0"/>
    <n v="384000"/>
    <n v="0"/>
    <s v="EA"/>
  </r>
  <r>
    <x v="1"/>
    <s v="부자재"/>
    <x v="205"/>
    <s v="알루미늄리드지(Lighly Creamy 1Day Brown_30P)"/>
    <s v="BS0305-001"/>
    <s v="부자재"/>
    <s v="소프트렌즈(B)"/>
    <s v=""/>
    <n v="370000"/>
    <n v="0"/>
    <n v="0"/>
    <n v="370000"/>
    <n v="0"/>
    <s v="EA"/>
  </r>
  <r>
    <x v="1"/>
    <s v="부자재"/>
    <x v="206"/>
    <s v="알루미늄리드지(Lighly Creamy 1Day Gray_30P)"/>
    <s v="BS0306-001"/>
    <s v="부자재"/>
    <s v="소프트렌즈(B)"/>
    <s v=""/>
    <n v="397000"/>
    <n v="0"/>
    <n v="0"/>
    <n v="397000"/>
    <n v="0"/>
    <s v="EA"/>
  </r>
  <r>
    <x v="1"/>
    <s v="부자재"/>
    <x v="207"/>
    <s v="알루미늄리드지(Lighly Creamy 1Day Rose_30P)"/>
    <s v="BS0307-001"/>
    <s v="부자재"/>
    <s v="소프트렌즈(B)"/>
    <s v=""/>
    <n v="384000"/>
    <n v="0"/>
    <n v="0"/>
    <n v="384000"/>
    <n v="0"/>
    <s v="EA"/>
  </r>
  <r>
    <x v="1"/>
    <s v="부자재"/>
    <x v="208"/>
    <s v="알루미늄리드지(Lighly Creamy 1Day Black_30P)"/>
    <s v="BS0308-001"/>
    <s v="부자재"/>
    <s v="소프트렌즈(B)"/>
    <s v=""/>
    <n v="337000"/>
    <n v="0"/>
    <n v="0"/>
    <n v="337000"/>
    <n v="0"/>
    <s v="EA"/>
  </r>
  <r>
    <x v="1"/>
    <s v="부자재"/>
    <x v="209"/>
    <s v="알루미늄리드지 (러시아 Optic Center Adria X)"/>
    <s v="BS0309-001"/>
    <s v="부자재"/>
    <s v="소프트렌즈(B)"/>
    <s v=""/>
    <n v="2063000"/>
    <n v="0"/>
    <n v="48000"/>
    <n v="2015000"/>
    <n v="0"/>
    <s v="EA"/>
  </r>
  <r>
    <x v="1"/>
    <s v="부자재"/>
    <x v="210"/>
    <s v="알루미늄리드지 (베트남 Calen_CARASE_Contact Lens 1Day 리드지)"/>
    <s v="BS0315-001"/>
    <s v="부자재"/>
    <s v="소프트렌즈(B)"/>
    <s v=""/>
    <n v="96000"/>
    <n v="0"/>
    <n v="0"/>
    <n v="96000"/>
    <n v="0"/>
    <s v="EA"/>
  </r>
  <r>
    <x v="1"/>
    <s v="부자재"/>
    <x v="211"/>
    <s v="알루미늄리드지 (PIA_1M 38% LILMOON 리드지)"/>
    <s v="BS0316-001"/>
    <s v="부자재"/>
    <s v="소프트렌즈(B)"/>
    <s v=""/>
    <n v="0"/>
    <n v="240000"/>
    <n v="48000"/>
    <n v="192000"/>
    <n v="0"/>
    <s v="EA"/>
  </r>
  <r>
    <x v="1"/>
    <s v="부자재"/>
    <x v="212"/>
    <s v="알루미늄리드지 (PIA_1M 38% MOLAK 리드지)"/>
    <s v="BS0317-001"/>
    <s v="부자재"/>
    <s v="소프트렌즈(B)"/>
    <s v=""/>
    <n v="0"/>
    <n v="250000"/>
    <n v="48000"/>
    <n v="202000"/>
    <n v="0"/>
    <s v="EA"/>
  </r>
  <r>
    <x v="1"/>
    <s v="부자재"/>
    <x v="213"/>
    <s v="알루미늄리드지 (PIA_1M 38% feliamo 리드지)"/>
    <s v="BS0318-001"/>
    <s v="부자재"/>
    <s v="소프트렌즈(B)"/>
    <s v=""/>
    <n v="0"/>
    <n v="240000"/>
    <n v="0"/>
    <n v="240000"/>
    <n v="0"/>
    <s v="EA"/>
  </r>
  <r>
    <x v="1"/>
    <s v="부자재"/>
    <x v="214"/>
    <s v="알루미늄리드지 (렌즈미 Torica 1DAY YOUS_BLACK)"/>
    <s v="BS0331-001"/>
    <s v="부자재"/>
    <s v="소프트렌즈(B)"/>
    <s v=""/>
    <n v="48000"/>
    <n v="0"/>
    <n v="0"/>
    <n v="48000"/>
    <n v="0"/>
    <s v="EA"/>
  </r>
  <r>
    <x v="1"/>
    <s v="부자재"/>
    <x v="215"/>
    <s v="알루미늄리드지 (렌즈미 Torica 1DAY YOUSON_BROWN)"/>
    <s v="BS0332-001"/>
    <s v="부자재"/>
    <s v="소프트렌즈(B)"/>
    <s v=""/>
    <n v="96000"/>
    <n v="0"/>
    <n v="0"/>
    <n v="96000"/>
    <n v="0"/>
    <s v="EA"/>
  </r>
  <r>
    <x v="1"/>
    <s v="부자재"/>
    <x v="216"/>
    <s v="알루미늄리드지 (Monthly_무지) (80mm)"/>
    <s v="BS0333-001"/>
    <s v="부자재"/>
    <s v="소프트렌즈(B)"/>
    <s v=""/>
    <n v="699344"/>
    <n v="931580"/>
    <n v="784315"/>
    <n v="846609"/>
    <n v="0"/>
    <s v="EA"/>
  </r>
  <r>
    <x v="1"/>
    <s v="부자재"/>
    <x v="217"/>
    <s v="알루미늄리드지 (PIA_1M 38% TOPARDS 리드지)"/>
    <s v="BS0337-001"/>
    <s v="부자재"/>
    <s v="소프트렌즈(B)"/>
    <s v=""/>
    <n v="0"/>
    <n v="240000"/>
    <n v="48000"/>
    <n v="192000"/>
    <n v="0"/>
    <s v="EA"/>
  </r>
  <r>
    <x v="1"/>
    <s v="부자재"/>
    <x v="218"/>
    <s v="알루미늄리드지 (PIA_1M 38% Melady 리드지)"/>
    <s v="BS0341-001"/>
    <s v="부자재"/>
    <s v="소프트렌즈(B)"/>
    <s v=""/>
    <n v="0"/>
    <n v="241000"/>
    <n v="49000"/>
    <n v="192000"/>
    <n v="0"/>
    <s v="EA"/>
  </r>
  <r>
    <x v="2"/>
    <s v="부자재"/>
    <x v="5"/>
    <s v="알루미늄리드지 (Monthly_무지)"/>
    <s v="BS0005-002"/>
    <s v="부자재"/>
    <s v="소프트렌즈(B)"/>
    <s v=""/>
    <n v="0"/>
    <n v="0"/>
    <n v="0"/>
    <n v="0"/>
    <n v="0"/>
    <s v="EA"/>
  </r>
  <r>
    <x v="2"/>
    <s v="부자재"/>
    <x v="33"/>
    <s v="알루미늄리드지 (국내/중국 원데이_아이리스)_무광 코팅"/>
    <s v="BS0054-003"/>
    <s v="부자재"/>
    <s v="소프트렌즈(B)"/>
    <s v=""/>
    <n v="0"/>
    <n v="0"/>
    <n v="0"/>
    <n v="0"/>
    <n v="0"/>
    <s v="EA"/>
  </r>
  <r>
    <x v="2"/>
    <s v="부자재"/>
    <x v="1"/>
    <s v="알루미늄리드지 (일본 PIA 1day 55%)_유광 코팅"/>
    <s v="BS0073-002"/>
    <s v="부자재"/>
    <s v="소프트렌즈(B)"/>
    <s v=""/>
    <n v="1430000"/>
    <n v="0"/>
    <n v="0"/>
    <n v="1430000"/>
    <n v="0"/>
    <s v="EA"/>
  </r>
  <r>
    <x v="2"/>
    <s v="부자재"/>
    <x v="67"/>
    <s v="알루미늄리드지 (러시아 Optic Center 1-Day GO 리드지)"/>
    <s v="BS0095-003"/>
    <s v="부자재"/>
    <s v="소프트렌즈(B)"/>
    <s v=""/>
    <n v="258903"/>
    <n v="239000"/>
    <n v="0"/>
    <n v="497903"/>
    <n v="0"/>
    <s v="EA"/>
  </r>
  <r>
    <x v="2"/>
    <s v="부자재"/>
    <x v="68"/>
    <s v="알루미늄리드지 (러시아 Optic Center ADRIA ZERO 리드지)"/>
    <s v="BS0098-002"/>
    <s v="부자재"/>
    <s v="소프트렌즈(B)"/>
    <s v=""/>
    <n v="38728"/>
    <n v="522000"/>
    <n v="0"/>
    <n v="560728"/>
    <n v="0"/>
    <s v="EA"/>
  </r>
  <r>
    <x v="2"/>
    <s v="부자재"/>
    <x v="195"/>
    <s v="알루미늄리드지 (일본 HAPA(PIA) 1D 55% Sugar High Kristin Plus)"/>
    <s v="BS0280-001"/>
    <s v="부자재"/>
    <s v="소프트렌즈(B)"/>
    <s v=""/>
    <n v="0"/>
    <n v="0"/>
    <n v="0"/>
    <n v="0"/>
    <n v="0"/>
    <s v="EA"/>
  </r>
  <r>
    <x v="3"/>
    <s v="부자재"/>
    <x v="169"/>
    <s v="알루미늄리드지 (영국 FGC SiHy 1Day 리드지)"/>
    <s v="BS0243-001"/>
    <s v="부자재"/>
    <s v="소프트렌즈(B)"/>
    <s v=""/>
    <n v="0"/>
    <n v="0"/>
    <n v="0"/>
    <n v="0"/>
    <n v="0"/>
    <s v="EA"/>
  </r>
  <r>
    <x v="4"/>
    <s v="부자재"/>
    <x v="5"/>
    <s v="알루미늄리드지 (Monthly_무지)"/>
    <s v="BS0005-002"/>
    <s v="부자재"/>
    <s v="소프트렌즈(B)"/>
    <s v=""/>
    <n v="667322"/>
    <n v="360009"/>
    <n v="349366"/>
    <n v="677965"/>
    <n v="0"/>
    <s v="EA"/>
  </r>
  <r>
    <x v="4"/>
    <s v="부자재"/>
    <x v="148"/>
    <s v="알루미늄리드지 (Moody nanodat 6M 탄수화물)_유광 중사각"/>
    <s v="BS0210-001"/>
    <s v="부자재"/>
    <s v="소프트렌즈(B)"/>
    <s v=""/>
    <n v="29386"/>
    <n v="0"/>
    <n v="0"/>
    <n v="29386"/>
    <n v="0"/>
    <s v="EA"/>
  </r>
  <r>
    <x v="4"/>
    <s v="부자재"/>
    <x v="152"/>
    <s v="알루미늄리드지 (미국 HAPA 1M 중사각 인쇄 리드지)_유광코팅"/>
    <s v="BS0216-001"/>
    <s v="부자재"/>
    <s v="소프트렌즈(B)"/>
    <s v=""/>
    <n v="30966"/>
    <n v="0"/>
    <n v="0"/>
    <n v="30966"/>
    <n v="0"/>
    <s v="EA"/>
  </r>
  <r>
    <x v="4"/>
    <s v="부자재"/>
    <x v="154"/>
    <s v="알루미늄리드지 (한국_하파크리스틴(1M) 핑크 중사각 인쇄 리드지)_유광코팅"/>
    <s v="BS0219-001"/>
    <s v="부자재"/>
    <s v="소프트렌즈(B)"/>
    <s v=""/>
    <n v="7397"/>
    <n v="9600"/>
    <n v="8315"/>
    <n v="8682"/>
    <n v="0"/>
    <s v="EA"/>
  </r>
  <r>
    <x v="4"/>
    <s v="부자재"/>
    <x v="174"/>
    <s v="알루미늄리드지 (츄렌즈_1Month Color)_유광 코팅"/>
    <s v="BS0250-001"/>
    <s v="부자재"/>
    <s v="소프트렌즈(B)"/>
    <s v=""/>
    <n v="33785"/>
    <n v="0"/>
    <n v="0"/>
    <n v="33785"/>
    <n v="0"/>
    <s v="EA"/>
  </r>
  <r>
    <x v="4"/>
    <s v="부자재"/>
    <x v="175"/>
    <s v="알루미늄리드지_일본 ANW Hapa Kristin(1M) 이브_유광코팅"/>
    <s v="BS0252-001"/>
    <s v="부자재"/>
    <s v="소프트렌즈(B)"/>
    <s v=""/>
    <n v="8239"/>
    <n v="0"/>
    <n v="0"/>
    <n v="8239"/>
    <n v="0"/>
    <s v="EA"/>
  </r>
  <r>
    <x v="4"/>
    <s v="부자재"/>
    <x v="185"/>
    <s v="알루미늄리드지 (태국 MG Medical Group_HYA 중사각 인쇄 리드지)_무광코팅"/>
    <s v="BS0265-001"/>
    <s v="부자재"/>
    <s v="소프트렌즈(B)"/>
    <s v=""/>
    <n v="9110"/>
    <n v="0"/>
    <n v="2218"/>
    <n v="6892"/>
    <n v="0"/>
    <s v="EA"/>
  </r>
  <r>
    <x v="4"/>
    <s v="부자재"/>
    <x v="186"/>
    <s v="알루미늄리드지 (태국 MG M_GLAM Nature Brown 중사각 인쇄 리드지)"/>
    <s v="BS0266-001"/>
    <s v="부자재"/>
    <s v="소프트렌즈(B)"/>
    <s v=""/>
    <n v="11557"/>
    <n v="19200"/>
    <n v="15799"/>
    <n v="14958"/>
    <n v="0"/>
    <s v="EA"/>
  </r>
  <r>
    <x v="4"/>
    <s v="부자재"/>
    <x v="187"/>
    <s v="알루미늄리드지 (태국 MG M_GLAM No.1 Hazel 중사각 인쇄 리드지)"/>
    <s v="BS0270-001"/>
    <s v="부자재"/>
    <s v="소프트렌즈(B)"/>
    <s v=""/>
    <n v="13550"/>
    <n v="141467"/>
    <n v="114284"/>
    <n v="40733"/>
    <n v="0"/>
    <s v="EA"/>
  </r>
  <r>
    <x v="4"/>
    <s v="부자재"/>
    <x v="188"/>
    <s v="알루미늄리드지 (태국 MG M_GLAM Perfect Brown 중사각 인쇄 리드지)"/>
    <s v="BS0271-001"/>
    <s v="부자재"/>
    <s v="소프트렌즈(B)"/>
    <s v=""/>
    <n v="9600"/>
    <n v="9600"/>
    <n v="15153"/>
    <n v="4047"/>
    <n v="0"/>
    <s v="EA"/>
  </r>
  <r>
    <x v="4"/>
    <s v="부자재"/>
    <x v="189"/>
    <s v="알루미늄리드지 (태국 MG M_GLAM Glow Hazel 중사각 인쇄 리드지)"/>
    <s v="BS0272-002"/>
    <s v="부자재"/>
    <s v="소프트렌즈(B)"/>
    <s v=""/>
    <n v="10143"/>
    <n v="28800"/>
    <n v="21657"/>
    <n v="17286"/>
    <n v="0"/>
    <s v="EA"/>
  </r>
  <r>
    <x v="4"/>
    <s v="부자재"/>
    <x v="191"/>
    <s v="알루미늄리드지 (태국 MG M_GLAM Russian Gray 중사각 인쇄 리드지)"/>
    <s v="BS0274-001"/>
    <s v="부자재"/>
    <s v="소프트렌즈(B)"/>
    <s v=""/>
    <n v="4917"/>
    <n v="0"/>
    <n v="1835"/>
    <n v="3082"/>
    <n v="0"/>
    <s v="EA"/>
  </r>
  <r>
    <x v="4"/>
    <s v="부자재"/>
    <x v="192"/>
    <s v="알루미늄리드지 (태국 MG M_GLAM Russian Brown 중사각 인쇄 리드지)"/>
    <s v="BS0275-001"/>
    <s v="부자재"/>
    <s v="소프트렌즈(B)"/>
    <s v=""/>
    <n v="7923"/>
    <n v="0"/>
    <n v="1474"/>
    <n v="6449"/>
    <n v="0"/>
    <s v="EA"/>
  </r>
  <r>
    <x v="4"/>
    <s v="부자재"/>
    <x v="211"/>
    <s v="알루미늄리드지 (PIA_1M 38% LILMOON 리드지)"/>
    <s v="BS0316-001"/>
    <s v="부자재"/>
    <s v="소프트렌즈(B)"/>
    <s v=""/>
    <n v="0"/>
    <n v="0"/>
    <n v="0"/>
    <n v="0"/>
    <n v="0"/>
    <s v="EA"/>
  </r>
  <r>
    <x v="4"/>
    <s v="부자재"/>
    <x v="216"/>
    <s v="알루미늄리드지 (Monthly_무지) (80mm)"/>
    <s v="BS0333-001"/>
    <s v="부자재"/>
    <s v="소프트렌즈(B)"/>
    <s v=""/>
    <n v="165719"/>
    <n v="784315"/>
    <n v="891043"/>
    <n v="58991"/>
    <n v="0"/>
    <s v="EA"/>
  </r>
  <r>
    <x v="5"/>
    <s v="부자재"/>
    <x v="5"/>
    <s v="알루미늄리드지 (Monthly_무지)"/>
    <s v="BS0005-002"/>
    <s v="부자재"/>
    <s v="소프트렌즈(B)"/>
    <s v=""/>
    <n v="0"/>
    <n v="0"/>
    <n v="0"/>
    <n v="0"/>
    <n v="0"/>
    <s v="EA"/>
  </r>
  <r>
    <x v="5"/>
    <s v="부자재"/>
    <x v="6"/>
    <s v="알루미늄리드지 (1-Day Soft)구형_무광 코팅"/>
    <s v="BS0006-001"/>
    <s v="부자재"/>
    <s v="소프트렌즈(B)"/>
    <s v=""/>
    <n v="89788"/>
    <n v="0"/>
    <n v="0"/>
    <n v="89788"/>
    <n v="0"/>
    <s v="EA"/>
  </r>
  <r>
    <x v="5"/>
    <s v="부자재"/>
    <x v="7"/>
    <s v="알루미늄리드지 (원데이-데일리)_유광 코팅"/>
    <s v="BS0007-001"/>
    <s v="부자재"/>
    <s v="소프트렌즈(B)"/>
    <s v=""/>
    <n v="41911"/>
    <n v="148000"/>
    <n v="179545"/>
    <n v="10366"/>
    <n v="0"/>
    <s v="EA"/>
  </r>
  <r>
    <x v="5"/>
    <s v="부자재"/>
    <x v="9"/>
    <s v="알루미늄리드지 (원데이-스플레쉬)_유광 코팅"/>
    <s v="BS0011-001"/>
    <s v="부자재"/>
    <s v="소프트렌즈(B)"/>
    <s v=""/>
    <n v="97483"/>
    <n v="0"/>
    <n v="20185"/>
    <n v="77298"/>
    <n v="0"/>
    <s v="EA"/>
  </r>
  <r>
    <x v="5"/>
    <s v="부자재"/>
    <x v="14"/>
    <s v="알루미늄리드지 (원데이-MPG&amp;E)_유광 코팅"/>
    <s v="BS0031-004"/>
    <s v="부자재"/>
    <s v="소프트렌즈(B)"/>
    <s v=""/>
    <n v="132465"/>
    <n v="0"/>
    <n v="0"/>
    <n v="132465"/>
    <n v="0"/>
    <s v="EA"/>
  </r>
  <r>
    <x v="5"/>
    <s v="부자재"/>
    <x v="18"/>
    <s v="알루미늄리드지 (PIA 1Day)_유광 코팅"/>
    <s v="BS0036-001"/>
    <s v="부자재"/>
    <s v="소프트렌즈(B)"/>
    <s v=""/>
    <n v="158345"/>
    <n v="1410000"/>
    <n v="1463160"/>
    <n v="105185"/>
    <n v="0"/>
    <s v="EA"/>
  </r>
  <r>
    <x v="5"/>
    <s v="부자재"/>
    <x v="20"/>
    <s v="알루미늄리드지 (Clalen 55S)_유광 코팅"/>
    <s v="BS0038-003"/>
    <s v="부자재"/>
    <s v="소프트렌즈(B)"/>
    <s v=""/>
    <n v="19794"/>
    <n v="0"/>
    <n v="0"/>
    <n v="19794"/>
    <n v="0"/>
    <s v="EA"/>
  </r>
  <r>
    <x v="5"/>
    <s v="부자재"/>
    <x v="21"/>
    <s v="알루미늄리드지 (신시아 2week UV)_유광 코팅"/>
    <s v="BS0039-002"/>
    <s v="부자재"/>
    <s v="소프트렌즈(B)"/>
    <s v=""/>
    <n v="31107"/>
    <n v="0"/>
    <n v="20880"/>
    <n v="10227"/>
    <n v="0"/>
    <s v="EA"/>
  </r>
  <r>
    <x v="5"/>
    <s v="부자재"/>
    <x v="28"/>
    <s v="알루미늄리드지 (Metha Daily)_유광 코팅"/>
    <s v="BS0048-001"/>
    <s v="부자재"/>
    <s v="소프트렌즈(B)"/>
    <s v=""/>
    <n v="103030"/>
    <n v="294000"/>
    <n v="195360"/>
    <n v="201670"/>
    <n v="0"/>
    <s v="EA"/>
  </r>
  <r>
    <x v="5"/>
    <s v="부자재"/>
    <x v="30"/>
    <s v="알루미늄리드지 (Iris_수지그레이)_무광 코팅"/>
    <s v="BS0050-002"/>
    <s v="부자재"/>
    <s v="소프트렌즈(B)"/>
    <s v=""/>
    <n v="321767"/>
    <n v="683000"/>
    <n v="560505"/>
    <n v="444262"/>
    <n v="0"/>
    <s v="EA"/>
  </r>
  <r>
    <x v="5"/>
    <s v="부자재"/>
    <x v="32"/>
    <s v="알루미늄리드지 (Iris-Toric)_무광 코팅"/>
    <s v="BS0052-002"/>
    <s v="부자재"/>
    <s v="소프트렌즈(B)"/>
    <s v=""/>
    <n v="214585"/>
    <n v="195000"/>
    <n v="337210"/>
    <n v="72375"/>
    <n v="0"/>
    <s v="EA"/>
  </r>
  <r>
    <x v="5"/>
    <s v="부자재"/>
    <x v="0"/>
    <s v="알루미늄리드지 (국내/중국 1-Day Soft)_무광 코팅"/>
    <s v="BS0053-002"/>
    <s v="부자재"/>
    <s v="소프트렌즈(B)"/>
    <s v=""/>
    <n v="193104"/>
    <n v="0"/>
    <n v="13385"/>
    <n v="179719"/>
    <n v="0"/>
    <s v="EA"/>
  </r>
  <r>
    <x v="5"/>
    <s v="부자재"/>
    <x v="33"/>
    <s v="알루미늄리드지 (국내/중국 원데이_아이리스)_무광 코팅"/>
    <s v="BS0054-003"/>
    <s v="부자재"/>
    <s v="소프트렌즈(B)"/>
    <s v=""/>
    <n v="842320"/>
    <n v="3977000"/>
    <n v="3849574"/>
    <n v="969746"/>
    <n v="0"/>
    <s v="EA"/>
  </r>
  <r>
    <x v="5"/>
    <s v="부자재"/>
    <x v="35"/>
    <s v="알루미늄리드지 (Iris-알리샤브라운)_무광 코팅"/>
    <s v="BS0057-002"/>
    <s v="부자재"/>
    <s v="소프트렌즈(B)"/>
    <s v=""/>
    <n v="66914"/>
    <n v="96000"/>
    <n v="41170"/>
    <n v="121744"/>
    <n v="0"/>
    <s v="EA"/>
  </r>
  <r>
    <x v="5"/>
    <s v="부자재"/>
    <x v="37"/>
    <s v="알루미늄리드지 (Bella_1Day_컬러 리드지)_유광 코팅"/>
    <s v="BS0059-001"/>
    <s v="부자재"/>
    <s v="소프트렌즈(B)"/>
    <s v=""/>
    <n v="16586"/>
    <n v="0"/>
    <n v="0"/>
    <n v="16586"/>
    <n v="0"/>
    <s v="EA"/>
  </r>
  <r>
    <x v="5"/>
    <s v="부자재"/>
    <x v="40"/>
    <s v="알루미늄리드지 (일본 sincere Natural 1day Moisture)_유광 코팅"/>
    <s v="BS0062-002"/>
    <s v="부자재"/>
    <s v="소프트렌즈(B)"/>
    <s v=""/>
    <n v="0"/>
    <n v="0"/>
    <n v="0"/>
    <n v="0"/>
    <n v="0"/>
    <s v="EA"/>
  </r>
  <r>
    <x v="5"/>
    <s v="부자재"/>
    <x v="42"/>
    <s v="알루미늄리드지 (국내/중국 클라렌 아이리스 2)_무광 코팅"/>
    <s v="BS0064-002"/>
    <s v="부자재"/>
    <s v="소프트렌즈(B)"/>
    <s v=""/>
    <n v="12383"/>
    <n v="0"/>
    <n v="0"/>
    <n v="12383"/>
    <n v="0"/>
    <s v="EA"/>
  </r>
  <r>
    <x v="5"/>
    <s v="부자재"/>
    <x v="43"/>
    <s v="알루미늄리드지 (미국 PDI 원데이)_유광 코팅"/>
    <s v="BS0065-001"/>
    <s v="부자재"/>
    <s v="소프트렌즈(B)"/>
    <s v=""/>
    <n v="34835"/>
    <n v="0"/>
    <n v="0"/>
    <n v="34835"/>
    <n v="0"/>
    <s v="EA"/>
  </r>
  <r>
    <x v="5"/>
    <s v="부자재"/>
    <x v="44"/>
    <s v="알루미늄리드지 (이태리 Soleko – Queen’s one 원데이 컬러)_유광 코팅"/>
    <s v="BS0066-002"/>
    <s v="부자재"/>
    <s v="소프트렌즈(B)"/>
    <s v=""/>
    <n v="51975"/>
    <n v="0"/>
    <n v="0"/>
    <n v="51975"/>
    <n v="0"/>
    <s v="EA"/>
  </r>
  <r>
    <x v="5"/>
    <s v="부자재"/>
    <x v="48"/>
    <s v="알루미늄리드지 (캐나다 PIA 1-DAY)_유광 코팅"/>
    <s v="BS0072-002"/>
    <s v="부자재"/>
    <s v="소프트렌즈(B)"/>
    <s v=""/>
    <n v="57052"/>
    <n v="0"/>
    <n v="0"/>
    <n v="57052"/>
    <n v="0"/>
    <s v="EA"/>
  </r>
  <r>
    <x v="5"/>
    <s v="부자재"/>
    <x v="1"/>
    <s v="알루미늄리드지 (일본 PIA 1day 55%)_유광 코팅"/>
    <s v="BS0073-002"/>
    <s v="부자재"/>
    <s v="소프트렌즈(B)"/>
    <s v=""/>
    <n v="1002060"/>
    <n v="3795000"/>
    <n v="3898840"/>
    <n v="898220"/>
    <n v="0"/>
    <s v="EA"/>
  </r>
  <r>
    <x v="5"/>
    <s v="부자재"/>
    <x v="49"/>
    <s v="알루미늄리드지 (해외공용 1-day 리드지)_유광 코팅"/>
    <s v="BS0074-001"/>
    <s v="부자재"/>
    <s v="소프트렌즈(B)"/>
    <s v=""/>
    <n v="117570"/>
    <n v="0"/>
    <n v="0"/>
    <n v="117570"/>
    <n v="0"/>
    <s v="EA"/>
  </r>
  <r>
    <x v="5"/>
    <s v="부자재"/>
    <x v="57"/>
    <s v="알루미늄리드지 (PIA 55% 1Day Clear UV)_유광 코팅"/>
    <s v="BS0082-001"/>
    <s v="부자재"/>
    <s v="소프트렌즈(B)"/>
    <s v=""/>
    <n v="21034"/>
    <n v="0"/>
    <n v="0"/>
    <n v="21034"/>
    <n v="0"/>
    <s v="EA"/>
  </r>
  <r>
    <x v="5"/>
    <s v="부자재"/>
    <x v="58"/>
    <s v="알루미늄리드지 (체코 Alensa US 원데이 리드지)_유광 코팅"/>
    <s v="BS0083-002"/>
    <s v="부자재"/>
    <s v="소프트렌즈(B)"/>
    <s v=""/>
    <n v="161478"/>
    <n v="0"/>
    <n v="4070"/>
    <n v="157408"/>
    <n v="0"/>
    <s v="EA"/>
  </r>
  <r>
    <x v="5"/>
    <s v="부자재"/>
    <x v="59"/>
    <s v="알루미늄리드지 (렌즈타운 Lighly 1Day_Brown)_유광 코팅"/>
    <s v="BS0084-001"/>
    <s v="부자재"/>
    <s v="소프트렌즈(B)"/>
    <s v=""/>
    <n v="20117"/>
    <n v="0"/>
    <n v="0"/>
    <n v="20117"/>
    <n v="0"/>
    <s v="EA"/>
  </r>
  <r>
    <x v="5"/>
    <s v="부자재"/>
    <x v="60"/>
    <s v="알루미늄리드지 (렌즈타운 Lighly 1Day_Gray)_유광 코팅"/>
    <s v="BS0085-001"/>
    <s v="부자재"/>
    <s v="소프트렌즈(B)"/>
    <s v=""/>
    <n v="36669"/>
    <n v="0"/>
    <n v="0"/>
    <n v="36669"/>
    <n v="0"/>
    <s v="EA"/>
  </r>
  <r>
    <x v="5"/>
    <s v="부자재"/>
    <x v="61"/>
    <s v="알루미늄리드지 (Iris_수지브라운)_무광 코팅"/>
    <s v="BS0086-001"/>
    <s v="부자재"/>
    <s v="소프트렌즈(B)"/>
    <s v=""/>
    <n v="234915"/>
    <n v="650000"/>
    <n v="448150"/>
    <n v="436765"/>
    <n v="0"/>
    <s v="EA"/>
  </r>
  <r>
    <x v="5"/>
    <s v="부자재"/>
    <x v="62"/>
    <s v="알루미늄리드지 (일본 HOYA_LaFORTE 55%)_유광 코팅"/>
    <s v="BS0089-001"/>
    <s v="부자재"/>
    <s v="소프트렌즈(B)"/>
    <s v=""/>
    <n v="72363"/>
    <n v="0"/>
    <n v="0"/>
    <n v="72363"/>
    <n v="0"/>
    <s v="EA"/>
  </r>
  <r>
    <x v="5"/>
    <s v="부자재"/>
    <x v="63"/>
    <s v="알루미늄리드지 (렌즈미 Realsome_Brown)_유광 코팅"/>
    <s v="BS0090-001"/>
    <s v="부자재"/>
    <s v="소프트렌즈(B)"/>
    <s v=""/>
    <n v="18648"/>
    <n v="0"/>
    <n v="0"/>
    <n v="18648"/>
    <n v="0"/>
    <s v="EA"/>
  </r>
  <r>
    <x v="5"/>
    <s v="부자재"/>
    <x v="64"/>
    <s v="알루미늄리드지 (렌즈미 Realsome_Choco)_유광 코팅"/>
    <s v="BS0091-001"/>
    <s v="부자재"/>
    <s v="소프트렌즈(B)"/>
    <s v=""/>
    <n v="30875"/>
    <n v="0"/>
    <n v="0"/>
    <n v="30875"/>
    <n v="0"/>
    <s v="EA"/>
  </r>
  <r>
    <x v="5"/>
    <s v="부자재"/>
    <x v="65"/>
    <s v="알루미늄리드지 (레바논 SAAD 원데이 컬러 TAMO 리드지)_유광 코팅"/>
    <s v="BS0093-001"/>
    <s v="부자재"/>
    <s v="소프트렌즈(B)"/>
    <s v=""/>
    <n v="5894"/>
    <n v="0"/>
    <n v="0"/>
    <n v="5894"/>
    <n v="0"/>
    <s v="EA"/>
  </r>
  <r>
    <x v="5"/>
    <s v="부자재"/>
    <x v="67"/>
    <s v="알루미늄리드지 (러시아 Optic Center 1-Day GO 리드지)"/>
    <s v="BS0095-003"/>
    <s v="부자재"/>
    <s v="소프트렌즈(B)"/>
    <s v=""/>
    <n v="0"/>
    <n v="0"/>
    <n v="0"/>
    <n v="0"/>
    <n v="0"/>
    <s v="EA"/>
  </r>
  <r>
    <x v="5"/>
    <s v="부자재"/>
    <x v="70"/>
    <s v="알루미늄리드지 (렌즈타운 Lighly Rose 1Day Beige)_유광 코팅"/>
    <s v="BS0100-001"/>
    <s v="부자재"/>
    <s v="소프트렌즈(B)"/>
    <s v=""/>
    <n v="68513"/>
    <n v="0"/>
    <n v="0"/>
    <n v="68513"/>
    <n v="0"/>
    <s v="EA"/>
  </r>
  <r>
    <x v="5"/>
    <s v="부자재"/>
    <x v="71"/>
    <s v="알루미늄리드지 (렌즈타운 Lighly Rose 1Day Gray)_유광 코팅"/>
    <s v="BS0101-001"/>
    <s v="부자재"/>
    <s v="소프트렌즈(B)"/>
    <s v=""/>
    <n v="16779"/>
    <n v="0"/>
    <n v="0"/>
    <n v="16779"/>
    <n v="0"/>
    <s v="EA"/>
  </r>
  <r>
    <x v="5"/>
    <s v="부자재"/>
    <x v="72"/>
    <s v="알루미늄리드지 (렌즈타운 Lighly Rose 1Day Rose)_유광 코팅"/>
    <s v="BS0102-001"/>
    <s v="부자재"/>
    <s v="소프트렌즈(B)"/>
    <s v=""/>
    <n v="10798"/>
    <n v="0"/>
    <n v="0"/>
    <n v="10798"/>
    <n v="0"/>
    <s v="EA"/>
  </r>
  <r>
    <x v="5"/>
    <s v="부자재"/>
    <x v="73"/>
    <s v="알루미늄리드지 (이태리 soleko US 58% 1day)_유광 코팅"/>
    <s v="BS0103-001"/>
    <s v="부자재"/>
    <s v="소프트렌즈(B)"/>
    <s v=""/>
    <n v="138018"/>
    <n v="96000"/>
    <n v="116635"/>
    <n v="117383"/>
    <n v="0"/>
    <s v="EA"/>
  </r>
  <r>
    <x v="5"/>
    <s v="부자재"/>
    <x v="76"/>
    <s v="알루미늄리드지 (Clalen Astra_글리터)_유광 코팅"/>
    <s v="BS0107-002"/>
    <s v="부자재"/>
    <s v="소프트렌즈(B)"/>
    <s v=""/>
    <n v="41560"/>
    <n v="0"/>
    <n v="0"/>
    <n v="41560"/>
    <n v="0"/>
    <s v="EA"/>
  </r>
  <r>
    <x v="5"/>
    <s v="부자재"/>
    <x v="77"/>
    <s v="알루미늄리드지 (Clalen Astra Estelle_브라운)_유광 코팅"/>
    <s v="BS0108-002"/>
    <s v="부자재"/>
    <s v="소프트렌즈(B)"/>
    <s v=""/>
    <n v="6118"/>
    <n v="0"/>
    <n v="0"/>
    <n v="6118"/>
    <n v="0"/>
    <s v="EA"/>
  </r>
  <r>
    <x v="5"/>
    <s v="부자재"/>
    <x v="78"/>
    <s v="알루미늄리드지 (Clalen Astra Estelle_그레이)_유광 코팅"/>
    <s v="BS0109-002"/>
    <s v="부자재"/>
    <s v="소프트렌즈(B)"/>
    <s v=""/>
    <n v="47112"/>
    <n v="0"/>
    <n v="0"/>
    <n v="47112"/>
    <n v="0"/>
    <s v="EA"/>
  </r>
  <r>
    <x v="5"/>
    <s v="부자재"/>
    <x v="79"/>
    <s v="알루미늄리드지 (캐나다 PIA 1Day 55% 컬러)_유광 코팅"/>
    <s v="BS0110-002"/>
    <s v="부자재"/>
    <s v="소프트렌즈(B)"/>
    <s v=""/>
    <n v="23553"/>
    <n v="0"/>
    <n v="0"/>
    <n v="23553"/>
    <n v="0"/>
    <s v="EA"/>
  </r>
  <r>
    <x v="5"/>
    <s v="부자재"/>
    <x v="80"/>
    <s v="알루미늄리드지 (렌즈미 Realfit 3Color_Brown)_유광 코팅"/>
    <s v="BS0111-001"/>
    <s v="부자재"/>
    <s v="소프트렌즈(B)"/>
    <s v=""/>
    <n v="20565"/>
    <n v="0"/>
    <n v="0"/>
    <n v="20565"/>
    <n v="0"/>
    <s v="EA"/>
  </r>
  <r>
    <x v="5"/>
    <s v="부자재"/>
    <x v="81"/>
    <s v="알루미늄리드지 (렌즈미 Realfit 3Color_Gray)_유광 코팅"/>
    <s v="BS0112-001"/>
    <s v="부자재"/>
    <s v="소프트렌즈(B)"/>
    <s v=""/>
    <n v="57995"/>
    <n v="0"/>
    <n v="0"/>
    <n v="57995"/>
    <n v="0"/>
    <s v="EA"/>
  </r>
  <r>
    <x v="5"/>
    <s v="부자재"/>
    <x v="84"/>
    <s v="알루미늄리드지 (무지-백색_PET12/AL30/CPP100_White 리버스인쇄)"/>
    <s v="BS0115-001"/>
    <s v="부자재"/>
    <s v="소프트렌즈(B)"/>
    <s v=""/>
    <n v="47573"/>
    <n v="0"/>
    <n v="0"/>
    <n v="47573"/>
    <n v="0"/>
    <s v="EA"/>
  </r>
  <r>
    <x v="5"/>
    <s v="부자재"/>
    <x v="84"/>
    <s v="알루미늄리드지 (무지-백색_PET12/AL30/CPP100_White 리버스인쇄)"/>
    <s v="BS0115-001"/>
    <s v="부자재"/>
    <s v="소프트렌즈(B)"/>
    <s v=""/>
    <n v="0"/>
    <n v="0"/>
    <n v="0"/>
    <n v="0"/>
    <n v="0"/>
    <s v="EA"/>
  </r>
  <r>
    <x v="5"/>
    <s v="부자재"/>
    <x v="85"/>
    <s v="알루미늄리드지 (Clalen 1Day Freedom380)_무광 코팅"/>
    <s v="BS0116-001"/>
    <s v="부자재"/>
    <s v="소프트렌즈(B)"/>
    <s v=""/>
    <n v="50955"/>
    <n v="0"/>
    <n v="0"/>
    <n v="50955"/>
    <n v="0"/>
    <s v="EA"/>
  </r>
  <r>
    <x v="5"/>
    <s v="부자재"/>
    <x v="86"/>
    <s v="알루미늄리드지 (Celena_영문_컬러 원데이)_유광 코팅"/>
    <s v="BS0117-002"/>
    <s v="부자재"/>
    <s v="소프트렌즈(B)"/>
    <s v=""/>
    <n v="12137"/>
    <n v="0"/>
    <n v="0"/>
    <n v="12137"/>
    <n v="0"/>
    <s v="EA"/>
  </r>
  <r>
    <x v="5"/>
    <s v="부자재"/>
    <x v="87"/>
    <s v="알루미늄리드지 (렌즈타운 Lighly Rose 1Day Khaki)_유광 코팅"/>
    <s v="BS0118-001"/>
    <s v="부자재"/>
    <s v="소프트렌즈(B)"/>
    <s v=""/>
    <n v="2922"/>
    <n v="0"/>
    <n v="0"/>
    <n v="2922"/>
    <n v="0"/>
    <s v="EA"/>
  </r>
  <r>
    <x v="5"/>
    <s v="부자재"/>
    <x v="88"/>
    <s v="알루미늄리드지 (렌즈타운 Lighly Rose 1Day Berry)_유광 코팅"/>
    <s v="BS0119-001"/>
    <s v="부자재"/>
    <s v="소프트렌즈(B)"/>
    <s v=""/>
    <n v="25069"/>
    <n v="0"/>
    <n v="0"/>
    <n v="25069"/>
    <n v="0"/>
    <s v="EA"/>
  </r>
  <r>
    <x v="5"/>
    <s v="부자재"/>
    <x v="89"/>
    <s v="알루미늄리드지 (렌즈타운 Lighly Rose 1Day Cacao)_유광 코팅"/>
    <s v="BS0120-001"/>
    <s v="부자재"/>
    <s v="소프트렌즈(B)"/>
    <s v=""/>
    <n v="27743"/>
    <n v="0"/>
    <n v="0"/>
    <n v="27743"/>
    <n v="0"/>
    <s v="EA"/>
  </r>
  <r>
    <x v="5"/>
    <s v="부자재"/>
    <x v="90"/>
    <s v="알루미늄리드지 (일본 sincere FAP 1D 38% UV)_유광 코팅"/>
    <s v="BS0121-002"/>
    <s v="부자재"/>
    <s v="소프트렌즈(B)"/>
    <s v=""/>
    <n v="17456"/>
    <n v="48000"/>
    <n v="8885"/>
    <n v="56571"/>
    <n v="0"/>
    <s v="EA"/>
  </r>
  <r>
    <x v="5"/>
    <s v="부자재"/>
    <x v="94"/>
    <s v="알루미늄리드지 (일본 From eyes Eyecloset UV)_무광 코팅"/>
    <s v="BS0126-002"/>
    <s v="부자재"/>
    <s v="소프트렌즈(B)"/>
    <s v=""/>
    <n v="92503"/>
    <n v="0"/>
    <n v="0"/>
    <n v="92503"/>
    <n v="0"/>
    <s v="EA"/>
  </r>
  <r>
    <x v="5"/>
    <s v="부자재"/>
    <x v="95"/>
    <s v="알루미늄리드지 (UAE_eyewa_Layala_원데이 리드지)_유광 코팅"/>
    <s v="BS0127-002"/>
    <s v="부자재"/>
    <s v="소프트렌즈(B)"/>
    <s v=""/>
    <n v="24261"/>
    <n v="0"/>
    <n v="1435"/>
    <n v="22826"/>
    <n v="0"/>
    <s v="EA"/>
  </r>
  <r>
    <x v="5"/>
    <s v="부자재"/>
    <x v="2"/>
    <s v="알루미늄리드지 (중국향 Clalen RINA 1-Day 리드지)_유광 코팅"/>
    <s v="BS0129-001"/>
    <s v="부자재"/>
    <s v="소프트렌즈(B)"/>
    <s v=""/>
    <n v="47334"/>
    <n v="0"/>
    <n v="0"/>
    <n v="47334"/>
    <n v="0"/>
    <s v="EA"/>
  </r>
  <r>
    <x v="5"/>
    <s v="부자재"/>
    <x v="97"/>
    <s v="알루미늄리드지 (Iris Toric 헤일로 브라운)_유광 코팅"/>
    <s v="BS0132-001"/>
    <s v="부자재"/>
    <s v="소프트렌즈(B)"/>
    <s v=""/>
    <n v="104296"/>
    <n v="98000"/>
    <n v="96510"/>
    <n v="105786"/>
    <n v="0"/>
    <s v="EA"/>
  </r>
  <r>
    <x v="5"/>
    <s v="부자재"/>
    <x v="98"/>
    <s v="알루미늄리드지 (Iris Toric 헤일로 그레이)_유광 코팅"/>
    <s v="BS0133-001"/>
    <s v="부자재"/>
    <s v="소프트렌즈(B)"/>
    <s v=""/>
    <n v="68291"/>
    <n v="96000"/>
    <n v="72595"/>
    <n v="91696"/>
    <n v="0"/>
    <s v="EA"/>
  </r>
  <r>
    <x v="5"/>
    <s v="부자재"/>
    <x v="99"/>
    <s v="알루미늄리드지 (체코 Alensa 블루라이트 원데이 리드지)_유광 코팅"/>
    <s v="BS0134-001"/>
    <s v="부자재"/>
    <s v="소프트렌즈(B)"/>
    <s v=""/>
    <n v="42525"/>
    <n v="105000"/>
    <n v="45325"/>
    <n v="102200"/>
    <n v="0"/>
    <s v="EA"/>
  </r>
  <r>
    <x v="5"/>
    <s v="부자재"/>
    <x v="100"/>
    <s v="알루미늄리드지 (해외공용 영문 ADRIA 원데이 리드지)_무광 코팅"/>
    <s v="BS0138-001"/>
    <s v="부자재"/>
    <s v="소프트렌즈(B)"/>
    <s v=""/>
    <n v="37652"/>
    <n v="0"/>
    <n v="0"/>
    <n v="37652"/>
    <n v="0"/>
    <s v="EA"/>
  </r>
  <r>
    <x v="5"/>
    <s v="부자재"/>
    <x v="101"/>
    <s v="알루미늄리드지 (중국 EYE QUE 1day 55% Color)_무광 코팅"/>
    <s v="BS0141-002"/>
    <s v="부자재"/>
    <s v="소프트렌즈(B)"/>
    <s v=""/>
    <n v="46072"/>
    <n v="0"/>
    <n v="14535"/>
    <n v="31537"/>
    <n v="0"/>
    <s v="EA"/>
  </r>
  <r>
    <x v="5"/>
    <s v="부자재"/>
    <x v="103"/>
    <s v="알루미늄리드지 (일본 PIA 1day 38% mimuco)_유광 코팅"/>
    <s v="BS0145-001"/>
    <s v="부자재"/>
    <s v="소프트렌즈(B)"/>
    <s v=""/>
    <n v="94049"/>
    <n v="103000"/>
    <n v="79840"/>
    <n v="117209"/>
    <n v="0"/>
    <s v="EA"/>
  </r>
  <r>
    <x v="5"/>
    <s v="부자재"/>
    <x v="104"/>
    <s v="알루미늄리드지 (독일 4care – Blue light daily metha)_무광 코팅"/>
    <s v="BS0146-002"/>
    <s v="부자재"/>
    <s v="소프트렌즈(B)"/>
    <s v=""/>
    <n v="64901"/>
    <n v="0"/>
    <n v="0"/>
    <n v="64901"/>
    <n v="0"/>
    <s v="EA"/>
  </r>
  <r>
    <x v="5"/>
    <s v="부자재"/>
    <x v="107"/>
    <s v="알루미늄리드지 (일본 ANW Dopewink 1D 리드지)_유광 코팅"/>
    <s v="BS0150-001"/>
    <s v="부자재"/>
    <s v="소프트렌즈(B)"/>
    <s v=""/>
    <n v="29309"/>
    <n v="0"/>
    <n v="0"/>
    <n v="29309"/>
    <n v="0"/>
    <s v="EA"/>
  </r>
  <r>
    <x v="5"/>
    <s v="부자재"/>
    <x v="108"/>
    <s v="알루미늄리드지 (사우디 Rose Holding_Daya)_무광 코팅"/>
    <s v="BS0151-001"/>
    <s v="부자재"/>
    <s v="소프트렌즈(B)"/>
    <s v=""/>
    <n v="37869"/>
    <n v="0"/>
    <n v="0"/>
    <n v="37869"/>
    <n v="0"/>
    <s v="EA"/>
  </r>
  <r>
    <x v="5"/>
    <s v="부자재"/>
    <x v="109"/>
    <s v="알루미늄리드지 (공용 Alcon Freshlook)_유광 코팅"/>
    <s v="BS0154-001"/>
    <s v="부자재"/>
    <s v="소프트렌즈(B)"/>
    <s v=""/>
    <n v="98614"/>
    <n v="242000"/>
    <n v="223365"/>
    <n v="117249"/>
    <n v="0"/>
    <s v="EA"/>
  </r>
  <r>
    <x v="5"/>
    <s v="부자재"/>
    <x v="3"/>
    <s v="알루미늄리드지 (공용 Alcon Freshlook CC Lens)_유광 코팅"/>
    <s v="BS0155-001"/>
    <s v="부자재"/>
    <s v="소프트렌즈(B)"/>
    <s v=""/>
    <n v="154377"/>
    <n v="0"/>
    <n v="49230"/>
    <n v="105147"/>
    <n v="0"/>
    <s v="EA"/>
  </r>
  <r>
    <x v="5"/>
    <s v="부자재"/>
    <x v="111"/>
    <s v="알루미늄리드지 (Bioxifilcon A Daily 공용 리드지)_무광 코팅"/>
    <s v="BS0159-002"/>
    <s v="부자재"/>
    <s v="소프트렌즈(B)"/>
    <s v=""/>
    <n v="81063"/>
    <n v="0"/>
    <n v="0"/>
    <n v="81063"/>
    <n v="0"/>
    <s v="EA"/>
  </r>
  <r>
    <x v="5"/>
    <s v="부자재"/>
    <x v="114"/>
    <s v="알루미늄리드지 (국내 OPTACON ZOOM 1-Day)_무광 코팅"/>
    <s v="BS0162-001"/>
    <s v="부자재"/>
    <s v="소프트렌즈(B)"/>
    <s v=""/>
    <n v="18509"/>
    <n v="0"/>
    <n v="0"/>
    <n v="18509"/>
    <n v="0"/>
    <s v="EA"/>
  </r>
  <r>
    <x v="5"/>
    <s v="부자재"/>
    <x v="117"/>
    <s v="알루미늄리드지 (일본 하파크리스틴)_유광 코팅"/>
    <s v="BS0166-003"/>
    <s v="부자재"/>
    <s v="소프트렌즈(B)"/>
    <s v=""/>
    <n v="57921"/>
    <n v="0"/>
    <n v="0"/>
    <n v="57921"/>
    <n v="0"/>
    <s v="EA"/>
  </r>
  <r>
    <x v="5"/>
    <s v="부자재"/>
    <x v="119"/>
    <s v="알루미늄리드지 (러시아 Bi-focal_8.40_1-day 리드지)_무광 코팅"/>
    <s v="BS0170-001"/>
    <s v="부자재"/>
    <s v="소프트렌즈(B)"/>
    <s v=""/>
    <n v="77553"/>
    <n v="0"/>
    <n v="0"/>
    <n v="77553"/>
    <n v="0"/>
    <s v="EA"/>
  </r>
  <r>
    <x v="5"/>
    <s v="부자재"/>
    <x v="121"/>
    <s v="알루미늄리드지 (일본 sincere ITW 1day UV)_유광 코팅"/>
    <s v="BS0173-001"/>
    <s v="부자재"/>
    <s v="소프트렌즈(B)"/>
    <s v=""/>
    <n v="50358"/>
    <n v="0"/>
    <n v="0"/>
    <n v="50358"/>
    <n v="0"/>
    <s v="EA"/>
  </r>
  <r>
    <x v="5"/>
    <s v="부자재"/>
    <x v="123"/>
    <s v="알루미늄리드지 (일본 sincere ITFA 1D 38% UV)_유광 코팅"/>
    <s v="BS0176-001"/>
    <s v="부자재"/>
    <s v="소프트렌즈(B)"/>
    <s v=""/>
    <n v="29752"/>
    <n v="0"/>
    <n v="0"/>
    <n v="29752"/>
    <n v="0"/>
    <s v="EA"/>
  </r>
  <r>
    <x v="5"/>
    <s v="부자재"/>
    <x v="125"/>
    <s v="알루미늄리드지 (일본 ANW OvE 1day)_무광 코팅"/>
    <s v="BS0179-001"/>
    <s v="부자재"/>
    <s v="소프트렌즈(B)"/>
    <s v=""/>
    <n v="47571"/>
    <n v="0"/>
    <n v="0"/>
    <n v="47571"/>
    <n v="0"/>
    <s v="EA"/>
  </r>
  <r>
    <x v="5"/>
    <s v="부자재"/>
    <x v="126"/>
    <s v="알루미늄리드지 (PIA_1D 55% episode)_유광 코팅"/>
    <s v="BS0181-001"/>
    <s v="부자재"/>
    <s v="소프트렌즈(B)"/>
    <s v=""/>
    <n v="11949"/>
    <n v="0"/>
    <n v="0"/>
    <n v="11949"/>
    <n v="0"/>
    <s v="EA"/>
  </r>
  <r>
    <x v="5"/>
    <s v="부자재"/>
    <x v="127"/>
    <s v="알루미늄리드지 (다비치렌즈 Mersee Choco)_무광 코팅"/>
    <s v="BS0182-001"/>
    <s v="부자재"/>
    <s v="소프트렌즈(B)"/>
    <s v=""/>
    <n v="24149"/>
    <n v="0"/>
    <n v="0"/>
    <n v="24149"/>
    <n v="0"/>
    <s v="EA"/>
  </r>
  <r>
    <x v="5"/>
    <s v="부자재"/>
    <x v="129"/>
    <s v="알루미늄리드지 (다비치렌즈 Skatch Brown)_무광 코팅"/>
    <s v="BS0184-001"/>
    <s v="부자재"/>
    <s v="소프트렌즈(B)"/>
    <s v=""/>
    <n v="19570"/>
    <n v="0"/>
    <n v="0"/>
    <n v="19570"/>
    <n v="0"/>
    <s v="EA"/>
  </r>
  <r>
    <x v="5"/>
    <s v="부자재"/>
    <x v="131"/>
    <s v="알루미늄리드지 (중국 법인_JEWEL MOON 1D Color)_유광 코팅"/>
    <s v="BS0187-001"/>
    <s v="부자재"/>
    <s v="소프트렌즈(B)"/>
    <s v=""/>
    <n v="65263"/>
    <n v="107000"/>
    <n v="110725"/>
    <n v="61538"/>
    <n v="0"/>
    <s v="EA"/>
  </r>
  <r>
    <x v="5"/>
    <s v="부자재"/>
    <x v="133"/>
    <s v="알루미늄리드지 (하파크리스틴_1Day Color)_유광 코팅"/>
    <s v="BS0191-003"/>
    <s v="부자재"/>
    <s v="소프트렌즈(B)"/>
    <s v=""/>
    <n v="17177"/>
    <n v="0"/>
    <n v="0"/>
    <n v="17177"/>
    <n v="0"/>
    <s v="EA"/>
  </r>
  <r>
    <x v="5"/>
    <s v="부자재"/>
    <x v="135"/>
    <s v="알루미늄리드지 (태국 MG Medical Group SISSE ONE DAY MINI JEJE BRONZE)_무광 코팅"/>
    <s v="BS0193-002"/>
    <s v="부자재"/>
    <s v="소프트렌즈(B)"/>
    <s v=""/>
    <n v="30634"/>
    <n v="0"/>
    <n v="12565"/>
    <n v="18069"/>
    <n v="0"/>
    <s v="EA"/>
  </r>
  <r>
    <x v="5"/>
    <s v="부자재"/>
    <x v="136"/>
    <s v="알루미늄리드지 (중국 NAIBOLE 1day 58%)_유광 코팅"/>
    <s v="BS0195-001"/>
    <s v="부자재"/>
    <s v="소프트렌즈(B)"/>
    <s v=""/>
    <n v="9922"/>
    <n v="0"/>
    <n v="0"/>
    <n v="9922"/>
    <n v="0"/>
    <s v="EA"/>
  </r>
  <r>
    <x v="5"/>
    <s v="부자재"/>
    <x v="137"/>
    <s v="알루미늄리드지 (중국 하파크리스틴_1Day Color)_유광 코팅"/>
    <s v="BS0196-001"/>
    <s v="부자재"/>
    <s v="소프트렌즈(B)"/>
    <s v=""/>
    <n v="67095"/>
    <n v="0"/>
    <n v="0"/>
    <n v="67095"/>
    <n v="0"/>
    <s v="EA"/>
  </r>
  <r>
    <x v="5"/>
    <s v="부자재"/>
    <x v="139"/>
    <s v="알루미늄리드지 (PIA_1D 38% Lumie U)_유광 코팅"/>
    <s v="BS0198-001"/>
    <s v="부자재"/>
    <s v="소프트렌즈(B)"/>
    <s v=""/>
    <n v="59165"/>
    <n v="0"/>
    <n v="0"/>
    <n v="59165"/>
    <n v="0"/>
    <s v="EA"/>
  </r>
  <r>
    <x v="5"/>
    <s v="부자재"/>
    <x v="140"/>
    <s v="알루미늄리드지 (하파크리스틴_1Day Color Toric)_유광 코팅"/>
    <s v="BS0201-002"/>
    <s v="부자재"/>
    <s v="소프트렌즈(B)"/>
    <s v=""/>
    <n v="54115"/>
    <n v="0"/>
    <n v="0"/>
    <n v="54115"/>
    <n v="0"/>
    <s v="EA"/>
  </r>
  <r>
    <x v="5"/>
    <s v="부자재"/>
    <x v="143"/>
    <s v="알루미늄리드지 (PIA_1D 55% mimuco Toric리드지)_유광코팅"/>
    <s v="BS0205-001"/>
    <s v="부자재"/>
    <s v="소프트렌즈(B)"/>
    <s v=""/>
    <n v="43396"/>
    <n v="0"/>
    <n v="0"/>
    <n v="43396"/>
    <n v="0"/>
    <s v="EA"/>
  </r>
  <r>
    <x v="5"/>
    <s v="부자재"/>
    <x v="145"/>
    <s v="알루미늄리드지 (Moody nanodat 탄수화물 6P)_유광 코팅"/>
    <s v="BS0207-001"/>
    <s v="부자재"/>
    <s v="소프트렌즈(B)"/>
    <s v=""/>
    <n v="938"/>
    <n v="0"/>
    <n v="0"/>
    <n v="938"/>
    <n v="0"/>
    <s v="EA"/>
  </r>
  <r>
    <x v="5"/>
    <s v="부자재"/>
    <x v="147"/>
    <s v="알루미늄리드지 (Moody nanodat 탄수화물 20P)_유광 코팅"/>
    <s v="BS0209-001"/>
    <s v="부자재"/>
    <s v="소프트렌즈(B)"/>
    <s v=""/>
    <n v="32616"/>
    <n v="0"/>
    <n v="0"/>
    <n v="32616"/>
    <n v="0"/>
    <s v="EA"/>
  </r>
  <r>
    <x v="5"/>
    <s v="부자재"/>
    <x v="149"/>
    <s v="알루미늄리드지 (폴란드 FML eyeVista Metha1Day 리드지)_유광 코팅"/>
    <s v="BS0212-001"/>
    <s v="부자재"/>
    <s v="소프트렌즈(B)"/>
    <s v=""/>
    <n v="87143"/>
    <n v="0"/>
    <n v="0"/>
    <n v="87143"/>
    <n v="0"/>
    <s v="EA"/>
  </r>
  <r>
    <x v="5"/>
    <s v="부자재"/>
    <x v="4"/>
    <s v="알루미늄리드지 (Bella 리뉴얼 원데이 리드지(아랍))_유광코팅"/>
    <s v="BS0214-001"/>
    <s v="부자재"/>
    <s v="소프트렌즈(B)"/>
    <s v=""/>
    <n v="82537"/>
    <n v="0"/>
    <n v="0"/>
    <n v="82537"/>
    <n v="0"/>
    <s v="EA"/>
  </r>
  <r>
    <x v="5"/>
    <s v="부자재"/>
    <x v="151"/>
    <s v="알루미늄리드지 (Hioxifilcon A Daily 공용 리드지)_무광 코팅"/>
    <s v="BS0215-001"/>
    <s v="부자재"/>
    <s v="소프트렌즈(B)"/>
    <s v=""/>
    <n v="134924"/>
    <n v="0"/>
    <n v="65670"/>
    <n v="69254"/>
    <n v="0"/>
    <s v="EA"/>
  </r>
  <r>
    <x v="5"/>
    <s v="부자재"/>
    <x v="153"/>
    <s v="알루미늄리드지 (러시아 Optic Center ADRIA WOW 리드지)_무광코팅"/>
    <s v="BS0217-001"/>
    <s v="부자재"/>
    <s v="소프트렌즈(B)"/>
    <s v=""/>
    <n v="36452"/>
    <n v="0"/>
    <n v="0"/>
    <n v="36452"/>
    <n v="0"/>
    <s v="EA"/>
  </r>
  <r>
    <x v="5"/>
    <s v="부자재"/>
    <x v="155"/>
    <s v="알루미늄리드지 (러시아 Optic Center ADRIA MIX 리드지)_무광코팅"/>
    <s v="BS0220-001"/>
    <s v="부자재"/>
    <s v="소프트렌즈(B)"/>
    <s v=""/>
    <n v="43547"/>
    <n v="0"/>
    <n v="0"/>
    <n v="43547"/>
    <n v="0"/>
    <s v="EA"/>
  </r>
  <r>
    <x v="5"/>
    <s v="부자재"/>
    <x v="156"/>
    <s v="알루미늄리드지 (한국_젬아워(1D) 블랙 리드지)_유광코팅"/>
    <s v="BS0223-001"/>
    <s v="부자재"/>
    <s v="소프트렌즈(B)"/>
    <s v=""/>
    <n v="24239"/>
    <n v="0"/>
    <n v="0"/>
    <n v="24239"/>
    <n v="0"/>
    <s v="EA"/>
  </r>
  <r>
    <x v="5"/>
    <s v="부자재"/>
    <x v="157"/>
    <s v="알루미늄리드지 (중국_Moody(1D) Wicked Games 6P)_유광코팅"/>
    <s v="BS0224-001"/>
    <s v="부자재"/>
    <s v="소프트렌즈(B)"/>
    <s v=""/>
    <n v="4568"/>
    <n v="0"/>
    <n v="0"/>
    <n v="4568"/>
    <n v="0"/>
    <s v="EA"/>
  </r>
  <r>
    <x v="5"/>
    <s v="부자재"/>
    <x v="159"/>
    <s v="알루미늄리드지(윙크컴퍼니 Winc Clear Air Plus 1Day)_유광 코팅"/>
    <s v="BS0227-002"/>
    <s v="부자재"/>
    <s v="소프트렌즈(B)"/>
    <s v=""/>
    <n v="0"/>
    <n v="0"/>
    <n v="0"/>
    <n v="0"/>
    <n v="0"/>
    <s v="EA"/>
  </r>
  <r>
    <x v="5"/>
    <s v="부자재"/>
    <x v="161"/>
    <s v="알루미늄리드지 (중국_Moody(1D) Wicked Games 2,20P)_유광코팅"/>
    <s v="BS0229-001"/>
    <s v="부자재"/>
    <s v="소프트렌즈(B)"/>
    <s v=""/>
    <n v="36220"/>
    <n v="0"/>
    <n v="0"/>
    <n v="36220"/>
    <n v="0"/>
    <s v="EA"/>
  </r>
  <r>
    <x v="5"/>
    <s v="부자재"/>
    <x v="162"/>
    <s v="알루미늄리드지 일본 ANW Hapa Kristin (이브)_유광 코팅"/>
    <s v="BS0230-002"/>
    <s v="부자재"/>
    <s v="소프트렌즈(B)"/>
    <s v=""/>
    <n v="63110"/>
    <n v="0"/>
    <n v="0"/>
    <n v="63110"/>
    <n v="0"/>
    <s v="EA"/>
  </r>
  <r>
    <x v="5"/>
    <s v="부자재"/>
    <x v="163"/>
    <s v="알루미늄리드지(윙크컴퍼니 Winc Clear 1Day)_유광 코팅"/>
    <s v="BS0231-001"/>
    <s v="부자재"/>
    <s v="소프트렌즈(B)"/>
    <s v=""/>
    <n v="28931"/>
    <n v="0"/>
    <n v="0"/>
    <n v="28931"/>
    <n v="0"/>
    <s v="EA"/>
  </r>
  <r>
    <x v="5"/>
    <s v="부자재"/>
    <x v="165"/>
    <s v="알루미늄리드지(PIA_1D 55% Clainel 리드지)_무광코팅"/>
    <s v="BS0235-001"/>
    <s v="부자재"/>
    <s v="소프트렌즈(B)"/>
    <s v=""/>
    <n v="81242"/>
    <n v="0"/>
    <n v="0"/>
    <n v="81242"/>
    <n v="0"/>
    <s v="EA"/>
  </r>
  <r>
    <x v="5"/>
    <s v="부자재"/>
    <x v="166"/>
    <s v="알루미늄리드지 (ANW_1D 55% OvE Toric리드지)"/>
    <s v="BS0238-001"/>
    <s v="부자재"/>
    <s v="소프트렌즈(B)"/>
    <s v=""/>
    <n v="19689"/>
    <n v="0"/>
    <n v="0"/>
    <n v="19689"/>
    <n v="0"/>
    <s v="EA"/>
  </r>
  <r>
    <x v="5"/>
    <s v="부자재"/>
    <x v="167"/>
    <s v="알루미늄리드지 (PIA_1D 55% Lumie-U Toric리드지)"/>
    <s v="BS0241-001"/>
    <s v="부자재"/>
    <s v="소프트렌즈(B)"/>
    <s v=""/>
    <n v="35259"/>
    <n v="0"/>
    <n v="0"/>
    <n v="35259"/>
    <n v="0"/>
    <s v="EA"/>
  </r>
  <r>
    <x v="5"/>
    <s v="부자재"/>
    <x v="168"/>
    <s v="알루미늄리드지 (PIA_1D 55% Melloew 리드지)"/>
    <s v="BS0242-001"/>
    <s v="부자재"/>
    <s v="소프트렌즈(B)"/>
    <s v=""/>
    <n v="1511"/>
    <n v="48000"/>
    <n v="0"/>
    <n v="49511"/>
    <n v="0"/>
    <s v="EA"/>
  </r>
  <r>
    <x v="5"/>
    <s v="부자재"/>
    <x v="169"/>
    <s v="알루미늄리드지 (영국 FGC SiHy 1Day 리드지)"/>
    <s v="BS0243-001"/>
    <s v="부자재"/>
    <s v="소프트렌즈(B)"/>
    <s v=""/>
    <n v="0"/>
    <n v="0"/>
    <n v="0"/>
    <n v="0"/>
    <n v="0"/>
    <s v="EA"/>
  </r>
  <r>
    <x v="5"/>
    <s v="부자재"/>
    <x v="170"/>
    <s v="알루미늄리드지 (중국 LEMONADE 1D Self Love)_유광코팅"/>
    <s v="BS0244-001"/>
    <s v="부자재"/>
    <s v="소프트렌즈(B)"/>
    <s v=""/>
    <n v="94230"/>
    <n v="0"/>
    <n v="0"/>
    <n v="94230"/>
    <n v="0"/>
    <s v="EA"/>
  </r>
  <r>
    <x v="5"/>
    <s v="부자재"/>
    <x v="171"/>
    <s v="알루미늄리드지 (PIA_1D 55% Faloom 리드지)"/>
    <s v="BS0245-001"/>
    <s v="부자재"/>
    <s v="소프트렌즈(B)"/>
    <s v=""/>
    <n v="4599"/>
    <n v="0"/>
    <n v="0"/>
    <n v="4599"/>
    <n v="0"/>
    <s v="EA"/>
  </r>
  <r>
    <x v="5"/>
    <s v="부자재"/>
    <x v="172"/>
    <s v="알루미늄리드지 (From-eyes_1D 38% O&amp;ME 리드지)"/>
    <s v="BS0246-001"/>
    <s v="부자재"/>
    <s v="소프트렌즈(B)"/>
    <s v=""/>
    <n v="42916"/>
    <n v="0"/>
    <n v="0"/>
    <n v="42916"/>
    <n v="0"/>
    <s v="EA"/>
  </r>
  <r>
    <x v="5"/>
    <s v="부자재"/>
    <x v="173"/>
    <s v="알루미늄리드지 (일본 T-garden_1D 55% Cheritta)_유광코팅"/>
    <s v="BS0248-001"/>
    <s v="부자재"/>
    <s v="소프트렌즈(B)"/>
    <s v=""/>
    <n v="99587"/>
    <n v="0"/>
    <n v="0"/>
    <n v="99587"/>
    <n v="0"/>
    <s v="EA"/>
  </r>
  <r>
    <x v="5"/>
    <s v="부자재"/>
    <x v="177"/>
    <s v=" 알루미늄리드지 (중국 LEMONADE 1D Hydrogel 한국어)_유광코팅"/>
    <s v="BS0254-001"/>
    <s v="부자재"/>
    <s v="소프트렌즈(B)"/>
    <s v=""/>
    <n v="44363"/>
    <n v="0"/>
    <n v="0"/>
    <n v="44363"/>
    <n v="0"/>
    <s v="EA"/>
  </r>
  <r>
    <x v="5"/>
    <s v="부자재"/>
    <x v="178"/>
    <s v="알루미늄리드지 (UAE_SKY OPTICAL_리드지)"/>
    <s v="BS0255-001"/>
    <s v="부자재"/>
    <s v="소프트렌즈(B)"/>
    <s v=""/>
    <n v="54354"/>
    <n v="0"/>
    <n v="0"/>
    <n v="54354"/>
    <n v="0"/>
    <s v="EA"/>
  </r>
  <r>
    <x v="5"/>
    <s v="부자재"/>
    <x v="179"/>
    <s v="알루미늄리드지 (중국_Moody(1D) Hello Kitty 6P)_유광코팅"/>
    <s v="BS0257-001"/>
    <s v="부자재"/>
    <s v="소프트렌즈(B)"/>
    <s v=""/>
    <n v="21886"/>
    <n v="0"/>
    <n v="0"/>
    <n v="21886"/>
    <n v="0"/>
    <s v="EA"/>
  </r>
  <r>
    <x v="5"/>
    <s v="부자재"/>
    <x v="181"/>
    <s v="알루미늄리드지 ((주)코코엘 Lighly AQUA 1Day)_유광 코팅"/>
    <s v="BS0260-001"/>
    <s v="부자재"/>
    <s v="소프트렌즈(B)"/>
    <s v=""/>
    <n v="30000"/>
    <n v="0"/>
    <n v="0"/>
    <n v="30000"/>
    <n v="0"/>
    <s v="EA"/>
  </r>
  <r>
    <x v="5"/>
    <s v="부자재"/>
    <x v="182"/>
    <s v="알루미늄리드지 (PIA_1D 55% Resay 리드지)"/>
    <s v="BS0261-001"/>
    <s v="부자재"/>
    <s v="소프트렌즈(B)"/>
    <s v=""/>
    <n v="260147"/>
    <n v="0"/>
    <n v="0"/>
    <n v="260147"/>
    <n v="0"/>
    <s v="EA"/>
  </r>
  <r>
    <x v="5"/>
    <s v="부자재"/>
    <x v="184"/>
    <s v="알루미늄리드지 (영국 FGC Metha1Day Color 리드지)"/>
    <s v="BS0264-001"/>
    <s v="부자재"/>
    <s v="소프트렌즈(B)"/>
    <s v=""/>
    <n v="83974"/>
    <n v="0"/>
    <n v="1700"/>
    <n v="82274"/>
    <n v="0"/>
    <s v="EA"/>
  </r>
  <r>
    <x v="5"/>
    <s v="부자재"/>
    <x v="190"/>
    <s v="알루미늄리드지 (Bella 리뉴얼 원데이 리드지(사우디))"/>
    <s v="BS0273-001"/>
    <s v="부자재"/>
    <s v="소프트렌즈(B)"/>
    <s v=""/>
    <n v="45913"/>
    <n v="0"/>
    <n v="0"/>
    <n v="45913"/>
    <n v="0"/>
    <s v="EA"/>
  </r>
  <r>
    <x v="5"/>
    <s v="부자재"/>
    <x v="193"/>
    <s v="알루미늄리드지 (Iris-10P)_유광 코팅"/>
    <s v="BS0278-001"/>
    <s v="부자재"/>
    <s v="소프트렌즈(B)"/>
    <s v=""/>
    <n v="280898"/>
    <n v="0"/>
    <n v="0"/>
    <n v="280898"/>
    <n v="0"/>
    <s v="EA"/>
  </r>
  <r>
    <x v="5"/>
    <s v="부자재"/>
    <x v="194"/>
    <s v="알루미늄리드지 (일본 HAPA(PIA) 1D 55% Sugar High Kristin)"/>
    <s v="BS0279-001"/>
    <s v="부자재"/>
    <s v="소프트렌즈(B)"/>
    <s v=""/>
    <n v="119463"/>
    <n v="0"/>
    <n v="0"/>
    <n v="119463"/>
    <n v="0"/>
    <s v="EA"/>
  </r>
  <r>
    <x v="5"/>
    <s v="부자재"/>
    <x v="195"/>
    <s v="알루미늄리드지 (일본 HAPA(PIA) 1D 55% Sugar High Kristin Plus)"/>
    <s v="BS0280-001"/>
    <s v="부자재"/>
    <s v="소프트렌즈(B)"/>
    <s v=""/>
    <n v="42268"/>
    <n v="0"/>
    <n v="0"/>
    <n v="42268"/>
    <n v="0"/>
    <s v="EA"/>
  </r>
  <r>
    <x v="5"/>
    <s v="부자재"/>
    <x v="196"/>
    <s v="알루미늄리드지 (일본 HAPA(PIA) 1D 38% First Love Kristin)"/>
    <s v="BS0281-001"/>
    <s v="부자재"/>
    <s v="소프트렌즈(B)"/>
    <s v=""/>
    <n v="79941"/>
    <n v="0"/>
    <n v="0"/>
    <n v="79941"/>
    <n v="0"/>
    <s v="EA"/>
  </r>
  <r>
    <x v="5"/>
    <s v="부자재"/>
    <x v="197"/>
    <s v="알루미늄리드지 (중국 Lensmart_Clalen_55% Metha 1Day_30P)"/>
    <s v="BS0284-001"/>
    <s v="부자재"/>
    <s v="소프트렌즈(B)"/>
    <s v=""/>
    <n v="38435"/>
    <n v="0"/>
    <n v="0"/>
    <n v="38435"/>
    <n v="0"/>
    <s v="EA"/>
  </r>
  <r>
    <x v="5"/>
    <s v="부자재"/>
    <x v="198"/>
    <s v="알루미늄리드지 (PIA_1D 55% EyeStar 리드지)"/>
    <s v="BS0285-001"/>
    <s v="부자재"/>
    <s v="소프트렌즈(B)"/>
    <s v=""/>
    <n v="71043"/>
    <n v="0"/>
    <n v="0"/>
    <n v="71043"/>
    <n v="0"/>
    <s v="EA"/>
  </r>
  <r>
    <x v="5"/>
    <s v="부자재"/>
    <x v="199"/>
    <s v="알루미늄리드지 (하파크리스틴_1Day Color)_14.5 유광 코팅"/>
    <s v="BS0286-001"/>
    <s v="부자재"/>
    <s v="소프트렌즈(B)"/>
    <s v=""/>
    <n v="54128"/>
    <n v="0"/>
    <n v="3775"/>
    <n v="50353"/>
    <n v="0"/>
    <s v="EA"/>
  </r>
  <r>
    <x v="5"/>
    <s v="부자재"/>
    <x v="200"/>
    <s v="알루미늄리드지 (일본 HAPA(PIA) 1D 38% One&amp;Only Kristin Big Plus 리드지)"/>
    <s v="BS0287-001"/>
    <s v="부자재"/>
    <s v="소프트렌즈(B)"/>
    <s v=""/>
    <n v="69537"/>
    <n v="0"/>
    <n v="13915"/>
    <n v="55622"/>
    <n v="0"/>
    <s v="EA"/>
  </r>
  <r>
    <x v="5"/>
    <s v="부자재"/>
    <x v="201"/>
    <s v="알루미늄리드지 (일본 HAPA(PIA) 1D 38% One&amp;Only Kristin Plus 리드지)"/>
    <s v="BS0288-001"/>
    <s v="부자재"/>
    <s v="소프트렌즈(B)"/>
    <s v=""/>
    <n v="141422"/>
    <n v="0"/>
    <n v="36705"/>
    <n v="104717"/>
    <n v="0"/>
    <s v="EA"/>
  </r>
  <r>
    <x v="5"/>
    <s v="부자재"/>
    <x v="204"/>
    <s v="알루미늄리드지(Lighly Creamy 1Day Choco_30P)"/>
    <s v="BS0304-001"/>
    <s v="부자재"/>
    <s v="소프트렌즈(B)"/>
    <s v=""/>
    <n v="9466"/>
    <n v="0"/>
    <n v="0"/>
    <n v="9466"/>
    <n v="0"/>
    <s v="EA"/>
  </r>
  <r>
    <x v="5"/>
    <s v="부자재"/>
    <x v="205"/>
    <s v="알루미늄리드지(Lighly Creamy 1Day Brown_30P)"/>
    <s v="BS0305-001"/>
    <s v="부자재"/>
    <s v="소프트렌즈(B)"/>
    <s v=""/>
    <n v="21259"/>
    <n v="0"/>
    <n v="0"/>
    <n v="21259"/>
    <n v="0"/>
    <s v="EA"/>
  </r>
  <r>
    <x v="5"/>
    <s v="부자재"/>
    <x v="206"/>
    <s v="알루미늄리드지(Lighly Creamy 1Day Gray_30P)"/>
    <s v="BS0306-001"/>
    <s v="부자재"/>
    <s v="소프트렌즈(B)"/>
    <s v=""/>
    <n v="8100"/>
    <n v="0"/>
    <n v="0"/>
    <n v="8100"/>
    <n v="0"/>
    <s v="EA"/>
  </r>
  <r>
    <x v="5"/>
    <s v="부자재"/>
    <x v="207"/>
    <s v="알루미늄리드지(Lighly Creamy 1Day Rose_30P)"/>
    <s v="BS0307-001"/>
    <s v="부자재"/>
    <s v="소프트렌즈(B)"/>
    <s v=""/>
    <n v="13859"/>
    <n v="0"/>
    <n v="0"/>
    <n v="13859"/>
    <n v="0"/>
    <s v="EA"/>
  </r>
  <r>
    <x v="5"/>
    <s v="부자재"/>
    <x v="208"/>
    <s v="알루미늄리드지(Lighly Creamy 1Day Black_30P)"/>
    <s v="BS0308-001"/>
    <s v="부자재"/>
    <s v="소프트렌즈(B)"/>
    <s v=""/>
    <n v="48060"/>
    <n v="0"/>
    <n v="0"/>
    <n v="48060"/>
    <n v="0"/>
    <s v="EA"/>
  </r>
  <r>
    <x v="5"/>
    <s v="부자재"/>
    <x v="209"/>
    <s v="알루미늄리드지 (러시아 Optic Center Adria X)"/>
    <s v="BS0309-001"/>
    <s v="부자재"/>
    <s v="소프트렌즈(B)"/>
    <s v=""/>
    <n v="0"/>
    <n v="48000"/>
    <n v="0"/>
    <n v="48000"/>
    <n v="0"/>
    <s v="EA"/>
  </r>
  <r>
    <x v="5"/>
    <s v="부자재"/>
    <x v="210"/>
    <s v="알루미늄리드지 (베트남 Calen_CARASE_Contact Lens 1Day 리드지)"/>
    <s v="BS0315-001"/>
    <s v="부자재"/>
    <s v="소프트렌즈(B)"/>
    <s v=""/>
    <n v="75353"/>
    <n v="0"/>
    <n v="3870"/>
    <n v="71483"/>
    <n v="0"/>
    <s v="EA"/>
  </r>
  <r>
    <x v="5"/>
    <s v="부자재"/>
    <x v="211"/>
    <s v="알루미늄리드지 (PIA_1M 38% LILMOON 리드지)"/>
    <s v="BS0316-001"/>
    <s v="부자재"/>
    <s v="소프트렌즈(B)"/>
    <s v=""/>
    <n v="0"/>
    <n v="48000"/>
    <n v="12040"/>
    <n v="35960"/>
    <n v="0"/>
    <s v="EA"/>
  </r>
  <r>
    <x v="5"/>
    <s v="부자재"/>
    <x v="212"/>
    <s v="알루미늄리드지 (PIA_1M 38% MOLAK 리드지)"/>
    <s v="BS0317-001"/>
    <s v="부자재"/>
    <s v="소프트렌즈(B)"/>
    <s v=""/>
    <n v="0"/>
    <n v="48000"/>
    <n v="35280"/>
    <n v="12720"/>
    <n v="0"/>
    <s v="EA"/>
  </r>
  <r>
    <x v="5"/>
    <s v="부자재"/>
    <x v="214"/>
    <s v="알루미늄리드지 (렌즈미 Torica 1DAY YOUS_BLACK)"/>
    <s v="BS0331-001"/>
    <s v="부자재"/>
    <s v="소프트렌즈(B)"/>
    <s v=""/>
    <n v="42044"/>
    <n v="0"/>
    <n v="7570"/>
    <n v="34474"/>
    <n v="0"/>
    <s v="EA"/>
  </r>
  <r>
    <x v="5"/>
    <s v="부자재"/>
    <x v="215"/>
    <s v="알루미늄리드지 (렌즈미 Torica 1DAY YOUSON_BROWN)"/>
    <s v="BS0332-001"/>
    <s v="부자재"/>
    <s v="소프트렌즈(B)"/>
    <s v=""/>
    <n v="46255"/>
    <n v="0"/>
    <n v="0"/>
    <n v="46255"/>
    <n v="0"/>
    <s v="EA"/>
  </r>
  <r>
    <x v="5"/>
    <s v="부자재"/>
    <x v="217"/>
    <s v="알루미늄리드지 (PIA_1M 38% TOPARDS 리드지)"/>
    <s v="BS0337-001"/>
    <s v="부자재"/>
    <s v="소프트렌즈(B)"/>
    <s v=""/>
    <n v="0"/>
    <n v="48000"/>
    <n v="0"/>
    <n v="48000"/>
    <n v="0"/>
    <s v="EA"/>
  </r>
  <r>
    <x v="5"/>
    <s v="부자재"/>
    <x v="218"/>
    <s v="알루미늄리드지 (PIA_1M 38% Melady 리드지)"/>
    <s v="BS0341-001"/>
    <s v="부자재"/>
    <s v="소프트렌즈(B)"/>
    <s v=""/>
    <n v="0"/>
    <n v="49000"/>
    <n v="0"/>
    <n v="49000"/>
    <n v="0"/>
    <s v="EA"/>
  </r>
  <r>
    <x v="6"/>
    <s v="부자재"/>
    <x v="5"/>
    <s v="알루미늄리드지 (Monthly_무지)"/>
    <s v="BS0005-002"/>
    <s v="부자재"/>
    <s v="소프트렌즈(B)"/>
    <s v=""/>
    <n v="0"/>
    <n v="0"/>
    <n v="0"/>
    <n v="0"/>
    <n v="0"/>
    <s v="EA"/>
  </r>
  <r>
    <x v="6"/>
    <s v="부자재"/>
    <x v="29"/>
    <s v="알루미늄리드지 (신시아_원데이UV모이스쳐)_무광 코팅"/>
    <s v="BS0049-002"/>
    <s v="부자재"/>
    <s v="소프트렌즈(B)"/>
    <s v=""/>
    <n v="98762"/>
    <n v="0"/>
    <n v="0"/>
    <n v="98762"/>
    <n v="0"/>
    <s v="EA"/>
  </r>
  <r>
    <x v="6"/>
    <s v="부자재"/>
    <x v="0"/>
    <s v="알루미늄리드지 (국내/중국 1-Day Soft)_무광 코팅"/>
    <s v="BS0053-002"/>
    <s v="부자재"/>
    <s v="소프트렌즈(B)"/>
    <s v=""/>
    <n v="0"/>
    <n v="0"/>
    <n v="0"/>
    <n v="0"/>
    <n v="0"/>
    <s v="EA"/>
  </r>
  <r>
    <x v="6"/>
    <s v="부자재"/>
    <x v="33"/>
    <s v="알루미늄리드지 (국내/중국 원데이_아이리스)_무광 코팅"/>
    <s v="BS0054-003"/>
    <s v="부자재"/>
    <s v="소프트렌즈(B)"/>
    <s v=""/>
    <n v="26386"/>
    <n v="289000"/>
    <n v="108894"/>
    <n v="206492"/>
    <n v="0"/>
    <s v="EA"/>
  </r>
  <r>
    <x v="6"/>
    <s v="부자재"/>
    <x v="37"/>
    <s v="알루미늄리드지 (Bella_1Day_컬러 리드지)_유광 코팅"/>
    <s v="BS0059-001"/>
    <s v="부자재"/>
    <s v="소프트렌즈(B)"/>
    <s v=""/>
    <n v="46587"/>
    <n v="0"/>
    <n v="0"/>
    <n v="46587"/>
    <n v="0"/>
    <s v="EA"/>
  </r>
  <r>
    <x v="6"/>
    <s v="부자재"/>
    <x v="40"/>
    <s v="알루미늄리드지 (일본 sincere Natural 1day Moisture)_유광 코팅"/>
    <s v="BS0062-002"/>
    <s v="부자재"/>
    <s v="소프트렌즈(B)"/>
    <s v=""/>
    <n v="105135"/>
    <n v="0"/>
    <n v="0"/>
    <n v="105135"/>
    <n v="0"/>
    <s v="EA"/>
  </r>
  <r>
    <x v="6"/>
    <s v="부자재"/>
    <x v="58"/>
    <s v="알루미늄리드지 (체코 Alensa US 원데이 리드지)_유광 코팅"/>
    <s v="BS0083-002"/>
    <s v="부자재"/>
    <s v="소프트렌즈(B)"/>
    <s v=""/>
    <n v="0"/>
    <n v="0"/>
    <n v="0"/>
    <n v="0"/>
    <n v="0"/>
    <s v="EA"/>
  </r>
  <r>
    <x v="6"/>
    <s v="부자재"/>
    <x v="67"/>
    <s v="알루미늄리드지 (러시아 Optic Center 1-Day GO 리드지)"/>
    <s v="BS0095-003"/>
    <s v="부자재"/>
    <s v="소프트렌즈(B)"/>
    <s v=""/>
    <n v="0"/>
    <n v="0"/>
    <n v="0"/>
    <n v="0"/>
    <n v="0"/>
    <s v="EA"/>
  </r>
  <r>
    <x v="6"/>
    <s v="부자재"/>
    <x v="68"/>
    <s v="알루미늄리드지 (러시아 Optic Center ADRIA ZERO 리드지)"/>
    <s v="BS0098-002"/>
    <s v="부자재"/>
    <s v="소프트렌즈(B)"/>
    <s v=""/>
    <n v="0"/>
    <n v="0"/>
    <n v="0"/>
    <n v="0"/>
    <n v="0"/>
    <s v="EA"/>
  </r>
  <r>
    <x v="6"/>
    <s v="부자재"/>
    <x v="79"/>
    <s v="알루미늄리드지 (캐나다 PIA 1Day 55% 컬러)_유광 코팅"/>
    <s v="BS0110-002"/>
    <s v="부자재"/>
    <s v="소프트렌즈(B)"/>
    <s v=""/>
    <n v="29349"/>
    <n v="0"/>
    <n v="0"/>
    <n v="29349"/>
    <n v="0"/>
    <s v="EA"/>
  </r>
  <r>
    <x v="6"/>
    <s v="부자재"/>
    <x v="84"/>
    <s v="알루미늄리드지 (무지-백색_PET12/AL30/CPP100_White 리버스인쇄)"/>
    <s v="BS0115-001"/>
    <s v="부자재"/>
    <s v="소프트렌즈(B)"/>
    <s v=""/>
    <n v="305412"/>
    <n v="1765000"/>
    <n v="1636807"/>
    <n v="433605"/>
    <n v="0"/>
    <s v="EA"/>
  </r>
  <r>
    <x v="6"/>
    <s v="부자재"/>
    <x v="90"/>
    <s v="알루미늄리드지 (일본 sincere FAP 1D 38% UV)_유광 코팅"/>
    <s v="BS0121-002"/>
    <s v="부자재"/>
    <s v="소프트렌즈(B)"/>
    <s v=""/>
    <n v="0"/>
    <n v="0"/>
    <n v="0"/>
    <n v="0"/>
    <n v="0"/>
    <s v="EA"/>
  </r>
  <r>
    <x v="6"/>
    <s v="부자재"/>
    <x v="90"/>
    <s v="알루미늄리드지 (일본 sincere FAP 1D 38% UV)_유광 코팅"/>
    <s v="BS0121-002"/>
    <s v="부자재"/>
    <s v="소프트렌즈(B)"/>
    <s v=""/>
    <n v="52099"/>
    <n v="0"/>
    <n v="0"/>
    <n v="52099"/>
    <n v="0"/>
    <s v="EA"/>
  </r>
  <r>
    <x v="6"/>
    <s v="부자재"/>
    <x v="106"/>
    <s v="알루미늄리드지 (Clalen O2O2 Color 1Day)_무광 코팅"/>
    <s v="BS0149-001"/>
    <s v="부자재"/>
    <s v="소프트렌즈(B)"/>
    <s v=""/>
    <n v="114572"/>
    <n v="773000"/>
    <n v="710404"/>
    <n v="177168"/>
    <n v="0"/>
    <s v="EA"/>
  </r>
  <r>
    <x v="6"/>
    <s v="부자재"/>
    <x v="124"/>
    <s v="알루미늄리드지 (Clalen O2O2 1Day_Clear)_무광 코팅"/>
    <s v="BS0178-001"/>
    <s v="부자재"/>
    <s v="소프트렌즈(B)"/>
    <s v=""/>
    <n v="233701"/>
    <n v="0"/>
    <n v="4051"/>
    <n v="229650"/>
    <n v="0"/>
    <s v="EA"/>
  </r>
  <r>
    <x v="6"/>
    <s v="부자재"/>
    <x v="127"/>
    <s v="알루미늄리드지 (다비치렌즈 Mersee Choco)_무광 코팅"/>
    <s v="BS0182-001"/>
    <s v="부자재"/>
    <s v="소프트렌즈(B)"/>
    <s v=""/>
    <n v="8631"/>
    <n v="0"/>
    <n v="0"/>
    <n v="8631"/>
    <n v="0"/>
    <s v="EA"/>
  </r>
  <r>
    <x v="6"/>
    <s v="부자재"/>
    <x v="128"/>
    <s v="알루미늄리드지 (다비치렌즈 Mersee Brown)_무광 코팅"/>
    <s v="BS0183-001"/>
    <s v="부자재"/>
    <s v="소프트렌즈(B)"/>
    <s v=""/>
    <n v="34773"/>
    <n v="0"/>
    <n v="0"/>
    <n v="34773"/>
    <n v="0"/>
    <s v="EA"/>
  </r>
  <r>
    <x v="6"/>
    <s v="부자재"/>
    <x v="131"/>
    <s v="알루미늄리드지 (중국 법인_JEWEL MOON 1D Color)_유광 코팅"/>
    <s v="BS0187-001"/>
    <s v="부자재"/>
    <s v="소프트렌즈(B)"/>
    <s v=""/>
    <n v="61981"/>
    <n v="0"/>
    <n v="59193"/>
    <n v="2788"/>
    <n v="0"/>
    <s v="EA"/>
  </r>
  <r>
    <x v="6"/>
    <s v="부자재"/>
    <x v="134"/>
    <s v="알루미늄리드지 (Clalen O2O2 Color 1Day_Toric)_무광 코팅"/>
    <s v="BS0192-001"/>
    <s v="부자재"/>
    <s v="소프트렌즈(B)"/>
    <s v=""/>
    <n v="48558"/>
    <n v="0"/>
    <n v="0"/>
    <n v="48558"/>
    <n v="0"/>
    <s v="EA"/>
  </r>
  <r>
    <x v="6"/>
    <s v="부자재"/>
    <x v="142"/>
    <s v="알루미늄리드지 (OSC DYE 원데이 리드지)_유광코팅"/>
    <s v="BS0204-002"/>
    <s v="부자재"/>
    <s v="소프트렌즈(B)"/>
    <s v=""/>
    <n v="18322"/>
    <n v="0"/>
    <n v="0"/>
    <n v="18322"/>
    <n v="0"/>
    <s v="EA"/>
  </r>
  <r>
    <x v="6"/>
    <s v="부자재"/>
    <x v="145"/>
    <s v="알루미늄리드지 (Moody nanodat 탄수화물 6P)_유광 코팅"/>
    <s v="BS0207-001"/>
    <s v="부자재"/>
    <s v="소프트렌즈(B)"/>
    <s v=""/>
    <n v="55148"/>
    <n v="0"/>
    <n v="0"/>
    <n v="55148"/>
    <n v="0"/>
    <s v="EA"/>
  </r>
  <r>
    <x v="6"/>
    <s v="부자재"/>
    <x v="146"/>
    <s v="알루미늄리드지 (스타비젼 O2 Edition)_유광 코팅"/>
    <s v="BS0208-001"/>
    <s v="부자재"/>
    <s v="소프트렌즈(B)"/>
    <s v=""/>
    <n v="85837"/>
    <n v="240000"/>
    <n v="240658"/>
    <n v="85179"/>
    <n v="0"/>
    <s v="EA"/>
  </r>
  <r>
    <x v="6"/>
    <s v="부자재"/>
    <x v="147"/>
    <s v="알루미늄리드지 (Moody nanodat 탄수화물 20P)_유광 코팅"/>
    <s v="BS0209-001"/>
    <s v="부자재"/>
    <s v="소프트렌즈(B)"/>
    <s v=""/>
    <n v="25826"/>
    <n v="0"/>
    <n v="0"/>
    <n v="25826"/>
    <n v="0"/>
    <s v="EA"/>
  </r>
  <r>
    <x v="6"/>
    <s v="부자재"/>
    <x v="4"/>
    <s v="알루미늄리드지 (Bella 리뉴얼 원데이 리드지(아랍))_유광코팅"/>
    <s v="BS0214-001"/>
    <s v="부자재"/>
    <s v="소프트렌즈(B)"/>
    <s v=""/>
    <n v="191374"/>
    <n v="0"/>
    <n v="1125"/>
    <n v="190249"/>
    <n v="0"/>
    <s v="EA"/>
  </r>
  <r>
    <x v="6"/>
    <s v="부자재"/>
    <x v="158"/>
    <s v="알루미늄리드지 (이탈리아 Marshal SiHy 1Day 리드지)"/>
    <s v="BS0226-001"/>
    <s v="부자재"/>
    <s v="소프트렌즈(B)"/>
    <s v=""/>
    <n v="27544"/>
    <n v="0"/>
    <n v="27017"/>
    <n v="527"/>
    <n v="0"/>
    <s v="EA"/>
  </r>
  <r>
    <x v="6"/>
    <s v="부자재"/>
    <x v="159"/>
    <s v="알루미늄리드지(윙크컴퍼니 Winc Clear Air Plus 1Day)_유광 코팅"/>
    <s v="BS0227-002"/>
    <s v="부자재"/>
    <s v="소프트렌즈(B)"/>
    <s v=""/>
    <n v="49868"/>
    <n v="0"/>
    <n v="33103"/>
    <n v="16765"/>
    <n v="0"/>
    <s v="EA"/>
  </r>
  <r>
    <x v="6"/>
    <s v="부자재"/>
    <x v="160"/>
    <s v="알루미늄리드지 (Clalen O2O2 1Day Toric_Clear)_유광 코팅"/>
    <s v="BS0228-001"/>
    <s v="부자재"/>
    <s v="소프트렌즈(B)"/>
    <s v=""/>
    <n v="53982"/>
    <n v="0"/>
    <n v="0"/>
    <n v="53982"/>
    <n v="0"/>
    <s v="EA"/>
  </r>
  <r>
    <x v="6"/>
    <s v="부자재"/>
    <x v="169"/>
    <s v="알루미늄리드지 (영국 FGC SiHy 1Day 리드지)"/>
    <s v="BS0243-001"/>
    <s v="부자재"/>
    <s v="소프트렌즈(B)"/>
    <s v=""/>
    <n v="12064"/>
    <n v="0"/>
    <n v="24422"/>
    <n v="-12358"/>
    <n v="0"/>
    <s v="EA"/>
  </r>
  <r>
    <x v="6"/>
    <s v="부자재"/>
    <x v="176"/>
    <s v="알루미늄리드지 (중국 LEMONADE 1D Si-Hy)_유광코팅"/>
    <s v="BS0253-001"/>
    <s v="부자재"/>
    <s v="소프트렌즈(B)"/>
    <s v=""/>
    <n v="91482"/>
    <n v="0"/>
    <n v="0"/>
    <n v="91482"/>
    <n v="0"/>
    <s v="EA"/>
  </r>
  <r>
    <x v="6"/>
    <s v="부자재"/>
    <x v="180"/>
    <s v="알루미늄리드지 ((주)코코엘 Lighly AQUA Plus 1Day)_유광 코팅"/>
    <s v="BS0259-001"/>
    <s v="부자재"/>
    <s v="소프트렌즈(B)"/>
    <s v=""/>
    <n v="108500"/>
    <n v="0"/>
    <n v="0"/>
    <n v="108500"/>
    <n v="0"/>
    <s v="EA"/>
  </r>
  <r>
    <x v="6"/>
    <s v="부자재"/>
    <x v="183"/>
    <s v="알루미늄리드지 (영국 FGC SiHy 1Day MF 리드지)"/>
    <s v="BS0263-001"/>
    <s v="부자재"/>
    <s v="소프트렌즈(B)"/>
    <s v=""/>
    <n v="40616"/>
    <n v="0"/>
    <n v="41111"/>
    <n v="-495"/>
    <n v="0"/>
    <s v="EA"/>
  </r>
  <r>
    <x v="6"/>
    <s v="부자재"/>
    <x v="190"/>
    <s v="알루미늄리드지 (Bella 리뉴얼 원데이 리드지(사우디))"/>
    <s v="BS0273-001"/>
    <s v="부자재"/>
    <s v="소프트렌즈(B)"/>
    <s v=""/>
    <n v="38952"/>
    <n v="0"/>
    <n v="0"/>
    <n v="38952"/>
    <n v="0"/>
    <s v="EA"/>
  </r>
  <r>
    <x v="6"/>
    <s v="부자재"/>
    <x v="202"/>
    <s v="알루미늄리드지 (러시아 OKVISION_MiracleView Sph)"/>
    <s v="BS0299-001"/>
    <s v="부자재"/>
    <s v="소프트렌즈(B)"/>
    <s v=""/>
    <n v="138770"/>
    <n v="0"/>
    <n v="0"/>
    <n v="138770"/>
    <n v="0"/>
    <s v="E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7E6637-6463-4FAF-B403-556C45829FCF}" name="피벗 테이블7" cacheId="7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O1:S222" firstHeaderRow="1" firstDataRow="2" firstDataCol="1"/>
  <pivotFields count="14">
    <pivotField axis="axisCol" showAll="0">
      <items count="8">
        <item x="4"/>
        <item x="5"/>
        <item x="1"/>
        <item h="1" x="2"/>
        <item h="1" x="6"/>
        <item h="1" x="0"/>
        <item h="1" x="3"/>
        <item t="default"/>
      </items>
    </pivotField>
    <pivotField showAll="0"/>
    <pivotField axis="axisRow" showAll="0">
      <items count="220"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0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1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2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3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4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4"/>
        <item x="215"/>
        <item x="216"/>
        <item x="217"/>
        <item x="218"/>
        <item x="2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2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합계 : 재고" fld="11" baseField="0" baseItem="0"/>
  </dataFields>
  <formats count="14">
    <format dxfId="14">
      <pivotArea type="all" dataOnly="0" outline="0" fieldPosition="0"/>
    </format>
    <format dxfId="13">
      <pivotArea outline="0" collapsedLevelsAreSubtotals="1" fieldPosition="0"/>
    </format>
    <format dxfId="12">
      <pivotArea type="origin" dataOnly="0" labelOnly="1" outline="0" fieldPosition="0"/>
    </format>
    <format dxfId="11">
      <pivotArea field="0" type="button" dataOnly="0" labelOnly="1" outline="0" axis="axisCol" fieldPosition="0"/>
    </format>
    <format dxfId="10">
      <pivotArea type="topRight" dataOnly="0" labelOnly="1" outline="0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7">
      <pivotArea dataOnly="0" labelOnly="1" fieldPosition="0">
        <references count="1"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6">
      <pivotArea dataOnly="0" labelOnly="1" fieldPosition="0">
        <references count="1">
          <reference field="2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5">
      <pivotArea dataOnly="0" labelOnly="1" fieldPosition="0">
        <references count="1">
          <reference field="2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4">
      <pivotArea dataOnly="0" labelOnly="1" fieldPosition="0">
        <references count="1">
          <reference field="2" count="18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</reference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86F45-013F-4ECA-8C60-B86177E0B921}">
  <sheetPr filterMode="1">
    <tabColor rgb="FF00B0F0"/>
  </sheetPr>
  <dimension ref="B1:AM100"/>
  <sheetViews>
    <sheetView showGridLines="0" tabSelected="1" zoomScale="70" zoomScaleNormal="70" workbookViewId="0">
      <pane xSplit="3" ySplit="4" topLeftCell="D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8.75" defaultRowHeight="16.5" x14ac:dyDescent="0.3"/>
  <cols>
    <col min="1" max="1" width="2.625" style="1" customWidth="1"/>
    <col min="2" max="2" width="8.125" style="1" customWidth="1"/>
    <col min="3" max="3" width="12.125" style="1" customWidth="1"/>
    <col min="4" max="4" width="48.875" style="1" customWidth="1"/>
    <col min="5" max="5" width="12.75" style="1" customWidth="1"/>
    <col min="6" max="6" width="11.875" style="12" customWidth="1"/>
    <col min="7" max="9" width="6.375" style="12" customWidth="1"/>
    <col min="10" max="10" width="10.875" style="24" customWidth="1"/>
    <col min="11" max="11" width="8.25" style="24" customWidth="1"/>
    <col min="12" max="12" width="9.125" style="1" customWidth="1"/>
    <col min="13" max="13" width="8.875" style="1" customWidth="1"/>
    <col min="14" max="14" width="12.75" style="1" customWidth="1"/>
    <col min="15" max="15" width="11.875" style="1" customWidth="1"/>
    <col min="16" max="16" width="12.75" style="1" customWidth="1"/>
    <col min="17" max="22" width="11.125" style="1" customWidth="1"/>
    <col min="23" max="23" width="11.125" style="84" customWidth="1"/>
    <col min="24" max="35" width="11.125" style="1" customWidth="1"/>
    <col min="36" max="36" width="13.25" style="1" customWidth="1"/>
    <col min="37" max="39" width="12.625" style="1" bestFit="1" customWidth="1"/>
    <col min="40" max="16384" width="8.75" style="1"/>
  </cols>
  <sheetData>
    <row r="1" spans="2:38" ht="31.5" x14ac:dyDescent="0.3">
      <c r="B1" s="15" t="s">
        <v>1217</v>
      </c>
      <c r="C1" s="15"/>
      <c r="D1" s="15"/>
      <c r="E1" s="55" t="s">
        <v>1273</v>
      </c>
      <c r="F1" s="15"/>
      <c r="G1" s="15"/>
      <c r="H1" s="15"/>
      <c r="I1" s="15"/>
      <c r="J1" s="17"/>
      <c r="K1" s="17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77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89"/>
    </row>
    <row r="2" spans="2:38" s="4" customFormat="1" ht="27" customHeight="1" x14ac:dyDescent="0.3">
      <c r="B2" s="54" t="s">
        <v>1163</v>
      </c>
      <c r="F2" s="9"/>
      <c r="G2" s="9"/>
      <c r="H2" s="9"/>
      <c r="I2" s="9"/>
      <c r="J2" s="18"/>
      <c r="K2" s="18"/>
      <c r="W2" s="78"/>
      <c r="AK2" s="9"/>
      <c r="AL2" s="90"/>
    </row>
    <row r="3" spans="2:38" s="4" customFormat="1" ht="5.45" customHeight="1" x14ac:dyDescent="0.3">
      <c r="F3" s="9"/>
      <c r="G3" s="9"/>
      <c r="H3" s="9"/>
      <c r="I3" s="9"/>
      <c r="J3" s="18"/>
      <c r="K3" s="18"/>
      <c r="W3" s="78"/>
    </row>
    <row r="4" spans="2:38" s="5" customFormat="1" ht="42.75" customHeight="1" x14ac:dyDescent="0.3">
      <c r="B4" s="43" t="s">
        <v>3</v>
      </c>
      <c r="C4" s="43" t="s">
        <v>1</v>
      </c>
      <c r="D4" s="43" t="s">
        <v>1255</v>
      </c>
      <c r="E4" s="67" t="s">
        <v>37</v>
      </c>
      <c r="F4" s="44" t="s">
        <v>4</v>
      </c>
      <c r="G4" s="47" t="s">
        <v>1061</v>
      </c>
      <c r="H4" s="47" t="s">
        <v>1062</v>
      </c>
      <c r="I4" s="47" t="s">
        <v>1196</v>
      </c>
      <c r="J4" s="149" t="s">
        <v>1063</v>
      </c>
      <c r="K4" s="150" t="s">
        <v>1194</v>
      </c>
      <c r="L4" s="43" t="s">
        <v>5</v>
      </c>
      <c r="M4" s="43" t="s">
        <v>1088</v>
      </c>
      <c r="N4" s="43" t="s">
        <v>7</v>
      </c>
      <c r="O4" s="45" t="s">
        <v>1060</v>
      </c>
      <c r="P4" s="46">
        <v>46146</v>
      </c>
      <c r="Q4" s="46">
        <v>46149</v>
      </c>
      <c r="R4" s="46">
        <v>46150</v>
      </c>
      <c r="S4" s="46">
        <v>46153</v>
      </c>
      <c r="T4" s="46">
        <v>46154</v>
      </c>
      <c r="U4" s="46">
        <v>46155</v>
      </c>
      <c r="V4" s="46">
        <v>46157</v>
      </c>
      <c r="W4" s="79">
        <v>46160</v>
      </c>
      <c r="X4" s="79">
        <v>46161</v>
      </c>
      <c r="Y4" s="79">
        <v>46162</v>
      </c>
      <c r="Z4" s="79">
        <v>46163</v>
      </c>
      <c r="AA4" s="79">
        <v>46164</v>
      </c>
      <c r="AB4" s="46">
        <v>46168</v>
      </c>
      <c r="AC4" s="46">
        <v>46169</v>
      </c>
      <c r="AD4" s="46">
        <v>46170</v>
      </c>
      <c r="AE4" s="46">
        <v>46171</v>
      </c>
      <c r="AF4" s="46"/>
      <c r="AG4" s="46"/>
      <c r="AH4" s="46"/>
      <c r="AI4" s="46"/>
      <c r="AJ4" s="43" t="s">
        <v>0</v>
      </c>
    </row>
    <row r="5" spans="2:38" s="7" customFormat="1" ht="21.75" hidden="1" customHeight="1" x14ac:dyDescent="0.3">
      <c r="B5" s="152">
        <v>46142</v>
      </c>
      <c r="C5" s="62" t="s">
        <v>13</v>
      </c>
      <c r="D5" s="101" t="str">
        <f t="shared" ref="D5" si="0">IFERROR(VLOOKUP(C5,제품목록,3,FALSE),"")</f>
        <v>알루미늄리드지 (일본 PIA 1day 55%)_유광 코팅</v>
      </c>
      <c r="E5" s="125"/>
      <c r="F5" s="57">
        <v>838000</v>
      </c>
      <c r="G5" s="50">
        <v>46141</v>
      </c>
      <c r="H5" s="95"/>
      <c r="I5" s="117"/>
      <c r="J5" s="32"/>
      <c r="K5" s="126" t="s">
        <v>1197</v>
      </c>
      <c r="L5" s="6"/>
      <c r="M5" s="13"/>
      <c r="N5" s="60">
        <f t="shared" ref="N5:N7" si="1">F5-O5</f>
        <v>22000</v>
      </c>
      <c r="O5" s="42">
        <f t="shared" ref="O5:O7" si="2">SUM(P5:AI5)</f>
        <v>816000</v>
      </c>
      <c r="P5" s="13">
        <v>816000</v>
      </c>
      <c r="Q5" s="13"/>
      <c r="R5" s="41"/>
      <c r="S5" s="13"/>
      <c r="T5" s="13"/>
      <c r="U5" s="13"/>
      <c r="V5" s="41"/>
      <c r="W5" s="80">
        <v>0</v>
      </c>
      <c r="X5" s="41"/>
      <c r="Y5" s="41"/>
      <c r="Z5" s="41">
        <v>0</v>
      </c>
      <c r="AA5" s="41"/>
      <c r="AB5" s="41"/>
      <c r="AC5" s="41"/>
      <c r="AD5" s="41"/>
      <c r="AE5" s="75"/>
      <c r="AF5" s="32"/>
      <c r="AG5" s="32"/>
      <c r="AH5" s="32"/>
      <c r="AI5" s="75"/>
      <c r="AJ5" s="92">
        <f t="shared" ref="AJ5:AJ95" si="3">SUM(X5:AI5)</f>
        <v>0</v>
      </c>
      <c r="AK5" s="4"/>
      <c r="AL5" s="90"/>
    </row>
    <row r="6" spans="2:38" s="7" customFormat="1" ht="21.75" hidden="1" customHeight="1" x14ac:dyDescent="0.3">
      <c r="B6" s="152">
        <v>46128</v>
      </c>
      <c r="C6" s="62" t="s">
        <v>13</v>
      </c>
      <c r="D6" s="101" t="str">
        <f t="shared" ref="D6:D7" si="4">IFERROR(VLOOKUP(C6,제품목록,3,FALSE),"")</f>
        <v>알루미늄리드지 (일본 PIA 1day 55%)_유광 코팅</v>
      </c>
      <c r="E6" s="125"/>
      <c r="F6" s="57">
        <v>5000000</v>
      </c>
      <c r="G6" s="50" t="s">
        <v>1146</v>
      </c>
      <c r="H6" s="95"/>
      <c r="I6" s="116"/>
      <c r="J6" s="32"/>
      <c r="K6" s="126" t="s">
        <v>1197</v>
      </c>
      <c r="L6" s="6"/>
      <c r="M6" s="13"/>
      <c r="N6" s="60">
        <f t="shared" si="1"/>
        <v>-147000</v>
      </c>
      <c r="O6" s="42">
        <f t="shared" si="2"/>
        <v>5147000</v>
      </c>
      <c r="P6" s="13">
        <v>400000</v>
      </c>
      <c r="Q6" s="13">
        <v>385000</v>
      </c>
      <c r="R6" s="41">
        <v>756000</v>
      </c>
      <c r="S6" s="13">
        <v>917000</v>
      </c>
      <c r="T6" s="13">
        <v>749000</v>
      </c>
      <c r="U6" s="13">
        <v>717000</v>
      </c>
      <c r="V6" s="41"/>
      <c r="W6" s="80">
        <v>700000</v>
      </c>
      <c r="X6" s="41">
        <v>523000</v>
      </c>
      <c r="Y6" s="41"/>
      <c r="Z6" s="41"/>
      <c r="AA6" s="41"/>
      <c r="AB6" s="41"/>
      <c r="AC6" s="41"/>
      <c r="AD6" s="41"/>
      <c r="AE6" s="75"/>
      <c r="AF6" s="32"/>
      <c r="AG6" s="32"/>
      <c r="AH6" s="32"/>
      <c r="AI6" s="41"/>
      <c r="AJ6" s="92"/>
      <c r="AK6" s="4"/>
      <c r="AL6" s="90"/>
    </row>
    <row r="7" spans="2:38" s="7" customFormat="1" ht="21.75" hidden="1" customHeight="1" x14ac:dyDescent="0.3">
      <c r="B7" s="152">
        <v>46164</v>
      </c>
      <c r="C7" s="62" t="s">
        <v>1219</v>
      </c>
      <c r="D7" s="101" t="str">
        <f t="shared" si="4"/>
        <v>알루미늄리드지 (일본 PIA 1day 55%)_유광 코팅</v>
      </c>
      <c r="E7" s="125"/>
      <c r="F7" s="57">
        <v>2000000</v>
      </c>
      <c r="G7" s="50" t="s">
        <v>1220</v>
      </c>
      <c r="H7" s="147"/>
      <c r="I7" s="124"/>
      <c r="J7" s="98"/>
      <c r="K7" s="126" t="s">
        <v>1195</v>
      </c>
      <c r="L7" s="6"/>
      <c r="M7" s="13"/>
      <c r="N7" s="60">
        <f t="shared" si="1"/>
        <v>28000</v>
      </c>
      <c r="O7" s="42">
        <f t="shared" si="2"/>
        <v>1972000</v>
      </c>
      <c r="P7" s="13"/>
      <c r="Q7" s="13"/>
      <c r="R7" s="41"/>
      <c r="S7" s="13"/>
      <c r="T7" s="13"/>
      <c r="U7" s="13"/>
      <c r="V7" s="41"/>
      <c r="W7" s="80"/>
      <c r="X7" s="41"/>
      <c r="Y7" s="41"/>
      <c r="Z7" s="41">
        <v>492000</v>
      </c>
      <c r="AA7" s="41">
        <v>953000</v>
      </c>
      <c r="AB7" s="41">
        <v>527000</v>
      </c>
      <c r="AC7" s="41"/>
      <c r="AD7" s="41"/>
      <c r="AE7" s="75"/>
      <c r="AF7" s="32"/>
      <c r="AG7" s="32"/>
      <c r="AH7" s="32"/>
      <c r="AI7" s="41"/>
      <c r="AJ7" s="92"/>
      <c r="AK7" s="4"/>
      <c r="AL7" s="90"/>
    </row>
    <row r="8" spans="2:38" s="7" customFormat="1" ht="21.75" hidden="1" customHeight="1" x14ac:dyDescent="0.3">
      <c r="B8" s="31">
        <v>46105</v>
      </c>
      <c r="C8" s="62" t="s">
        <v>10</v>
      </c>
      <c r="D8" s="101" t="str">
        <f>IFERROR(VLOOKUP(C8,제품목록,3,FALSE),"")</f>
        <v>알루미늄리드지 (일본 sincere ITFA 1D 38% UV)_유광 코팅</v>
      </c>
      <c r="E8" s="69"/>
      <c r="F8" s="57">
        <v>200000</v>
      </c>
      <c r="G8" s="50">
        <v>46113</v>
      </c>
      <c r="H8" s="51">
        <v>46114</v>
      </c>
      <c r="I8" s="118"/>
      <c r="J8" s="19"/>
      <c r="K8" s="19" t="s">
        <v>1195</v>
      </c>
      <c r="L8" s="6"/>
      <c r="M8" s="13">
        <f>IFERROR(_xlfn.XLOOKUP(C8,[1]III.재고현황!O:O,[1]III.재고현황!R:R),)</f>
        <v>240000</v>
      </c>
      <c r="N8" s="60">
        <f t="shared" ref="N8:N48" si="5">F8-O8</f>
        <v>-40000</v>
      </c>
      <c r="O8" s="42">
        <f t="shared" ref="O8:O48" si="6">SUM(P8:AI8)</f>
        <v>240000</v>
      </c>
      <c r="P8" s="13">
        <v>240000</v>
      </c>
      <c r="Q8" s="13"/>
      <c r="R8" s="13"/>
      <c r="S8" s="13"/>
      <c r="T8" s="13"/>
      <c r="U8" s="13"/>
      <c r="V8" s="41"/>
      <c r="W8" s="80"/>
      <c r="X8" s="41"/>
      <c r="Y8" s="41"/>
      <c r="Z8" s="41"/>
      <c r="AA8" s="41"/>
      <c r="AB8" s="41"/>
      <c r="AC8" s="41"/>
      <c r="AD8" s="41"/>
      <c r="AE8" s="41"/>
      <c r="AF8" s="98"/>
      <c r="AG8" s="98"/>
      <c r="AH8" s="98"/>
      <c r="AI8" s="41"/>
      <c r="AJ8" s="92">
        <f t="shared" ref="AJ8:AJ42" si="7">SUM(X8:AI8)</f>
        <v>0</v>
      </c>
      <c r="AK8" s="4"/>
      <c r="AL8" s="90"/>
    </row>
    <row r="9" spans="2:38" s="7" customFormat="1" ht="21.75" hidden="1" customHeight="1" x14ac:dyDescent="0.3">
      <c r="B9" s="31">
        <v>46105</v>
      </c>
      <c r="C9" s="62" t="s">
        <v>11</v>
      </c>
      <c r="D9" s="101" t="str">
        <f t="shared" ref="D9:D37" si="8">IFERROR(VLOOKUP(C9,제품목록,3,FALSE),"")</f>
        <v>알루미늄리드지 (Iris-알리샤브라운)_무광 코팅</v>
      </c>
      <c r="E9" s="69"/>
      <c r="F9" s="57">
        <v>300000</v>
      </c>
      <c r="G9" s="50">
        <v>46118</v>
      </c>
      <c r="H9" s="51">
        <v>46121</v>
      </c>
      <c r="I9" s="118"/>
      <c r="J9" s="19"/>
      <c r="K9" s="19" t="s">
        <v>1195</v>
      </c>
      <c r="L9" s="6"/>
      <c r="M9" s="13">
        <f>IFERROR(_xlfn.XLOOKUP(C9,[1]III.재고현황!O:O,[1]III.재고현황!R:R),)</f>
        <v>539000</v>
      </c>
      <c r="N9" s="60">
        <f t="shared" si="5"/>
        <v>-45000</v>
      </c>
      <c r="O9" s="42">
        <f t="shared" si="6"/>
        <v>345000</v>
      </c>
      <c r="P9" s="13"/>
      <c r="Q9" s="13">
        <v>345000</v>
      </c>
      <c r="R9" s="13"/>
      <c r="S9" s="13"/>
      <c r="T9" s="13"/>
      <c r="U9" s="13"/>
      <c r="V9" s="41"/>
      <c r="W9" s="80"/>
      <c r="X9" s="41"/>
      <c r="Y9" s="41"/>
      <c r="Z9" s="41"/>
      <c r="AA9" s="41"/>
      <c r="AB9" s="41"/>
      <c r="AC9" s="41"/>
      <c r="AD9" s="41"/>
      <c r="AE9" s="41"/>
      <c r="AF9" s="98"/>
      <c r="AG9" s="98"/>
      <c r="AH9" s="98"/>
      <c r="AI9" s="41"/>
      <c r="AJ9" s="92">
        <f t="shared" si="7"/>
        <v>0</v>
      </c>
      <c r="AK9" s="4"/>
      <c r="AL9" s="90"/>
    </row>
    <row r="10" spans="2:38" s="7" customFormat="1" ht="21.75" hidden="1" customHeight="1" x14ac:dyDescent="0.3">
      <c r="B10" s="31">
        <v>46105</v>
      </c>
      <c r="C10" s="62" t="s">
        <v>12</v>
      </c>
      <c r="D10" s="101" t="str">
        <f t="shared" si="8"/>
        <v>알루미늄리드지 (태국 MG Medical Group_HYA 중사각 인쇄 리드지)_무광코팅</v>
      </c>
      <c r="E10" s="68"/>
      <c r="F10" s="57">
        <v>150000</v>
      </c>
      <c r="G10" s="50">
        <v>46118</v>
      </c>
      <c r="H10" s="51">
        <v>46121</v>
      </c>
      <c r="I10" s="118"/>
      <c r="J10" s="20"/>
      <c r="K10" s="19" t="s">
        <v>1195</v>
      </c>
      <c r="L10" s="6"/>
      <c r="M10" s="13">
        <f>IFERROR(_xlfn.XLOOKUP(C10,[1]III.재고현황!O:O,[1]III.재고현황!R:R),)</f>
        <v>201600</v>
      </c>
      <c r="N10" s="60">
        <f t="shared" si="5"/>
        <v>150000</v>
      </c>
      <c r="O10" s="42">
        <f t="shared" si="6"/>
        <v>0</v>
      </c>
      <c r="P10" s="13"/>
      <c r="Q10" s="13"/>
      <c r="R10" s="13"/>
      <c r="S10" s="13"/>
      <c r="T10" s="13"/>
      <c r="U10" s="13"/>
      <c r="V10" s="41"/>
      <c r="W10" s="80"/>
      <c r="X10" s="41"/>
      <c r="Y10" s="41"/>
      <c r="Z10" s="41"/>
      <c r="AA10" s="41"/>
      <c r="AB10" s="41"/>
      <c r="AC10" s="41"/>
      <c r="AD10" s="41"/>
      <c r="AE10" s="41"/>
      <c r="AF10" s="98"/>
      <c r="AG10" s="98"/>
      <c r="AH10" s="98"/>
      <c r="AI10" s="41"/>
      <c r="AJ10" s="92">
        <f t="shared" si="7"/>
        <v>0</v>
      </c>
      <c r="AK10" s="4"/>
      <c r="AL10" s="90"/>
    </row>
    <row r="11" spans="2:38" s="7" customFormat="1" ht="21.75" hidden="1" customHeight="1" x14ac:dyDescent="0.3">
      <c r="B11" s="31">
        <v>46105</v>
      </c>
      <c r="C11" s="62" t="s">
        <v>19</v>
      </c>
      <c r="D11" s="101" t="str">
        <f t="shared" si="8"/>
        <v>알루미늄리드지 (태국 MG M_GLAM No.1 Hazel 중사각 인쇄 리드지)</v>
      </c>
      <c r="E11" s="68"/>
      <c r="F11" s="57">
        <v>250000</v>
      </c>
      <c r="G11" s="50">
        <v>46118</v>
      </c>
      <c r="H11" s="51">
        <v>46121</v>
      </c>
      <c r="I11" s="118"/>
      <c r="J11" s="20"/>
      <c r="K11" s="19" t="s">
        <v>1195</v>
      </c>
      <c r="L11" s="6"/>
      <c r="M11" s="13">
        <f>IFERROR(_xlfn.XLOOKUP(C11,[1]III.재고현황!O:O,[1]III.재고현황!R:R),)</f>
        <v>163200</v>
      </c>
      <c r="N11" s="60">
        <f t="shared" si="5"/>
        <v>250000</v>
      </c>
      <c r="O11" s="42">
        <f t="shared" si="6"/>
        <v>0</v>
      </c>
      <c r="P11" s="13"/>
      <c r="Q11" s="13"/>
      <c r="R11" s="13"/>
      <c r="S11" s="13"/>
      <c r="T11" s="13"/>
      <c r="U11" s="13"/>
      <c r="V11" s="41"/>
      <c r="W11" s="80"/>
      <c r="X11" s="41"/>
      <c r="Y11" s="41"/>
      <c r="Z11" s="41"/>
      <c r="AA11" s="41"/>
      <c r="AB11" s="41"/>
      <c r="AC11" s="41"/>
      <c r="AD11" s="41"/>
      <c r="AE11" s="41"/>
      <c r="AF11" s="98"/>
      <c r="AG11" s="98"/>
      <c r="AH11" s="98"/>
      <c r="AI11" s="41"/>
      <c r="AJ11" s="92">
        <f t="shared" si="7"/>
        <v>0</v>
      </c>
      <c r="AK11" s="4"/>
      <c r="AL11" s="90"/>
    </row>
    <row r="12" spans="2:38" s="7" customFormat="1" ht="21.75" hidden="1" customHeight="1" x14ac:dyDescent="0.3">
      <c r="B12" s="31">
        <v>46105</v>
      </c>
      <c r="C12" s="62" t="s">
        <v>14</v>
      </c>
      <c r="D12" s="101" t="str">
        <f t="shared" si="8"/>
        <v>알루미늄리드지 (Clalen O2O2 Color 1Day)_무광 코팅</v>
      </c>
      <c r="E12" s="69"/>
      <c r="F12" s="57">
        <v>1000000</v>
      </c>
      <c r="G12" s="50">
        <v>46118</v>
      </c>
      <c r="H12" s="51">
        <v>46118</v>
      </c>
      <c r="I12" s="118"/>
      <c r="J12" s="19"/>
      <c r="K12" s="19" t="s">
        <v>1195</v>
      </c>
      <c r="L12" s="6"/>
      <c r="M12" s="13">
        <f>IFERROR(_xlfn.XLOOKUP(C12,[1]III.재고현황!O:O,[1]III.재고현황!R:R),)</f>
        <v>2473000</v>
      </c>
      <c r="N12" s="60">
        <f t="shared" si="5"/>
        <v>-44000</v>
      </c>
      <c r="O12" s="42">
        <f t="shared" si="6"/>
        <v>1044000</v>
      </c>
      <c r="P12" s="13"/>
      <c r="Q12" s="41">
        <v>1044000</v>
      </c>
      <c r="R12" s="13"/>
      <c r="S12" s="13"/>
      <c r="T12" s="13"/>
      <c r="U12" s="13"/>
      <c r="V12" s="41"/>
      <c r="W12" s="80"/>
      <c r="X12" s="41"/>
      <c r="Y12" s="41"/>
      <c r="Z12" s="41"/>
      <c r="AA12" s="41"/>
      <c r="AB12" s="41"/>
      <c r="AC12" s="41"/>
      <c r="AD12" s="41"/>
      <c r="AE12" s="41"/>
      <c r="AF12" s="98"/>
      <c r="AG12" s="98"/>
      <c r="AH12" s="98"/>
      <c r="AI12" s="41"/>
      <c r="AJ12" s="92">
        <f t="shared" si="7"/>
        <v>0</v>
      </c>
      <c r="AK12" s="4"/>
      <c r="AL12" s="90"/>
    </row>
    <row r="13" spans="2:38" s="7" customFormat="1" ht="21.75" hidden="1" customHeight="1" x14ac:dyDescent="0.3">
      <c r="B13" s="31">
        <v>46105</v>
      </c>
      <c r="C13" s="62" t="s">
        <v>15</v>
      </c>
      <c r="D13" s="101" t="str">
        <f t="shared" si="8"/>
        <v>알루미늄리드지 (PIA_1M 38% Melady 리드지)</v>
      </c>
      <c r="E13" s="69"/>
      <c r="F13" s="57">
        <v>200000</v>
      </c>
      <c r="G13" s="50">
        <v>46120</v>
      </c>
      <c r="H13" s="51">
        <v>46118</v>
      </c>
      <c r="I13" s="118"/>
      <c r="J13" s="19"/>
      <c r="K13" s="19" t="s">
        <v>1195</v>
      </c>
      <c r="L13" s="16"/>
      <c r="M13" s="13">
        <f>IFERROR(_xlfn.XLOOKUP(C13,[1]III.재고현황!O:O,[1]III.재고현황!R:R),)</f>
        <v>192000</v>
      </c>
      <c r="N13" s="60">
        <f t="shared" si="5"/>
        <v>-41000</v>
      </c>
      <c r="O13" s="42">
        <f t="shared" si="6"/>
        <v>241000</v>
      </c>
      <c r="P13" s="13"/>
      <c r="Q13" s="13"/>
      <c r="R13" s="13">
        <v>241000</v>
      </c>
      <c r="S13" s="13"/>
      <c r="T13" s="13"/>
      <c r="U13" s="13"/>
      <c r="V13" s="41"/>
      <c r="W13" s="80"/>
      <c r="X13" s="41"/>
      <c r="Y13" s="41"/>
      <c r="Z13" s="41"/>
      <c r="AA13" s="41"/>
      <c r="AB13" s="41"/>
      <c r="AC13" s="41"/>
      <c r="AD13" s="41"/>
      <c r="AE13" s="41"/>
      <c r="AF13" s="98"/>
      <c r="AG13" s="98"/>
      <c r="AH13" s="98"/>
      <c r="AI13" s="41"/>
      <c r="AJ13" s="92">
        <f t="shared" si="7"/>
        <v>0</v>
      </c>
      <c r="AK13" s="4"/>
      <c r="AL13" s="90"/>
    </row>
    <row r="14" spans="2:38" s="7" customFormat="1" ht="21.75" hidden="1" customHeight="1" x14ac:dyDescent="0.3">
      <c r="B14" s="31">
        <v>46105</v>
      </c>
      <c r="C14" s="62" t="s">
        <v>16</v>
      </c>
      <c r="D14" s="101" t="str">
        <f t="shared" si="8"/>
        <v>알루미늄리드지 (PIA_1M 38% feliamo 리드지)</v>
      </c>
      <c r="E14" s="69"/>
      <c r="F14" s="57">
        <v>200000</v>
      </c>
      <c r="G14" s="50">
        <v>46120</v>
      </c>
      <c r="H14" s="51">
        <v>46118</v>
      </c>
      <c r="I14" s="118"/>
      <c r="J14" s="19"/>
      <c r="K14" s="19" t="s">
        <v>1195</v>
      </c>
      <c r="L14" s="16"/>
      <c r="M14" s="13">
        <f>IFERROR(_xlfn.XLOOKUP(C14,[1]III.재고현황!O:O,[1]III.재고현황!R:R),)</f>
        <v>240000</v>
      </c>
      <c r="N14" s="60">
        <f t="shared" si="5"/>
        <v>-40000</v>
      </c>
      <c r="O14" s="42">
        <f t="shared" si="6"/>
        <v>240000</v>
      </c>
      <c r="P14" s="13"/>
      <c r="Q14" s="13"/>
      <c r="R14" s="13"/>
      <c r="S14" s="13">
        <v>240000</v>
      </c>
      <c r="T14" s="13"/>
      <c r="U14" s="13"/>
      <c r="V14" s="41"/>
      <c r="W14" s="80"/>
      <c r="X14" s="41"/>
      <c r="Y14" s="41"/>
      <c r="Z14" s="41"/>
      <c r="AA14" s="41"/>
      <c r="AB14" s="41"/>
      <c r="AC14" s="41"/>
      <c r="AD14" s="41"/>
      <c r="AE14" s="41"/>
      <c r="AF14" s="98"/>
      <c r="AG14" s="98"/>
      <c r="AH14" s="98"/>
      <c r="AI14" s="41"/>
      <c r="AJ14" s="92">
        <f t="shared" si="7"/>
        <v>0</v>
      </c>
      <c r="AK14" s="4"/>
      <c r="AL14" s="90"/>
    </row>
    <row r="15" spans="2:38" s="7" customFormat="1" ht="21.75" hidden="1" customHeight="1" x14ac:dyDescent="0.3">
      <c r="B15" s="31">
        <v>46105</v>
      </c>
      <c r="C15" s="62" t="s">
        <v>17</v>
      </c>
      <c r="D15" s="101" t="str">
        <f t="shared" si="8"/>
        <v>알루미늄리드지 (PIA_1M 38% MOLAK 리드지)</v>
      </c>
      <c r="E15" s="69"/>
      <c r="F15" s="57">
        <v>200000</v>
      </c>
      <c r="G15" s="50">
        <v>46120</v>
      </c>
      <c r="H15" s="51">
        <v>46119</v>
      </c>
      <c r="I15" s="118"/>
      <c r="J15" s="19"/>
      <c r="K15" s="19" t="s">
        <v>1195</v>
      </c>
      <c r="L15" s="16"/>
      <c r="M15" s="13">
        <f>IFERROR(_xlfn.XLOOKUP(C15,[1]III.재고현황!O:O,[1]III.재고현황!R:R),)</f>
        <v>202000</v>
      </c>
      <c r="N15" s="60">
        <f t="shared" si="5"/>
        <v>-50000</v>
      </c>
      <c r="O15" s="42">
        <f t="shared" si="6"/>
        <v>250000</v>
      </c>
      <c r="P15" s="13"/>
      <c r="Q15" s="13"/>
      <c r="R15" s="13"/>
      <c r="S15" s="13">
        <v>250000</v>
      </c>
      <c r="T15" s="13"/>
      <c r="U15" s="13"/>
      <c r="V15" s="41"/>
      <c r="W15" s="80"/>
      <c r="X15" s="41"/>
      <c r="Y15" s="41"/>
      <c r="Z15" s="41"/>
      <c r="AA15" s="41"/>
      <c r="AB15" s="41"/>
      <c r="AC15" s="41"/>
      <c r="AD15" s="41"/>
      <c r="AE15" s="41"/>
      <c r="AF15" s="98"/>
      <c r="AG15" s="98"/>
      <c r="AH15" s="98"/>
      <c r="AI15" s="41"/>
      <c r="AJ15" s="92">
        <f t="shared" si="7"/>
        <v>0</v>
      </c>
      <c r="AK15" s="4"/>
      <c r="AL15" s="90"/>
    </row>
    <row r="16" spans="2:38" s="7" customFormat="1" ht="21.75" hidden="1" customHeight="1" x14ac:dyDescent="0.3">
      <c r="B16" s="31">
        <v>46105</v>
      </c>
      <c r="C16" s="62" t="s">
        <v>18</v>
      </c>
      <c r="D16" s="101" t="str">
        <f t="shared" si="8"/>
        <v>알루미늄리드지 (PIA_1M 38% TOPARDS 리드지)</v>
      </c>
      <c r="E16" s="69"/>
      <c r="F16" s="57">
        <v>200000</v>
      </c>
      <c r="G16" s="50">
        <v>46120</v>
      </c>
      <c r="H16" s="51">
        <v>46120</v>
      </c>
      <c r="I16" s="118"/>
      <c r="J16" s="19"/>
      <c r="K16" s="19" t="s">
        <v>1195</v>
      </c>
      <c r="L16" s="16"/>
      <c r="M16" s="13">
        <f>IFERROR(_xlfn.XLOOKUP(C16,[1]III.재고현황!O:O,[1]III.재고현황!R:R),)</f>
        <v>192000</v>
      </c>
      <c r="N16" s="60">
        <f t="shared" si="5"/>
        <v>-40000</v>
      </c>
      <c r="O16" s="42">
        <f t="shared" si="6"/>
        <v>240000</v>
      </c>
      <c r="P16" s="13"/>
      <c r="Q16" s="13"/>
      <c r="R16" s="13"/>
      <c r="S16" s="13">
        <v>240000</v>
      </c>
      <c r="T16" s="13"/>
      <c r="U16" s="13"/>
      <c r="V16" s="41"/>
      <c r="W16" s="80"/>
      <c r="X16" s="41"/>
      <c r="Y16" s="41"/>
      <c r="Z16" s="41"/>
      <c r="AA16" s="41"/>
      <c r="AB16" s="41"/>
      <c r="AC16" s="41"/>
      <c r="AD16" s="41"/>
      <c r="AE16" s="41"/>
      <c r="AF16" s="98"/>
      <c r="AG16" s="98"/>
      <c r="AH16" s="98"/>
      <c r="AI16" s="41"/>
      <c r="AJ16" s="92">
        <f t="shared" si="7"/>
        <v>0</v>
      </c>
      <c r="AK16" s="4"/>
      <c r="AL16" s="90"/>
    </row>
    <row r="17" spans="2:38" s="7" customFormat="1" ht="21.75" hidden="1" customHeight="1" x14ac:dyDescent="0.3">
      <c r="B17" s="31">
        <v>46111</v>
      </c>
      <c r="C17" s="62" t="s">
        <v>20</v>
      </c>
      <c r="D17" s="101" t="str">
        <f t="shared" si="8"/>
        <v>알루미늄리드지 (Monthly_무지) (80mm)</v>
      </c>
      <c r="E17" s="68"/>
      <c r="F17" s="57">
        <v>1000000</v>
      </c>
      <c r="G17" s="50">
        <v>46128</v>
      </c>
      <c r="H17" s="51">
        <v>46122</v>
      </c>
      <c r="I17" s="118"/>
      <c r="J17" s="20"/>
      <c r="K17" s="19" t="s">
        <v>1195</v>
      </c>
      <c r="L17" s="6"/>
      <c r="M17" s="13">
        <f>IFERROR(_xlfn.XLOOKUP(C17,[1]III.재고현황!O:O,[1]III.재고현황!R:R),)</f>
        <v>846609</v>
      </c>
      <c r="N17" s="60">
        <f t="shared" si="5"/>
        <v>1000000</v>
      </c>
      <c r="O17" s="42">
        <f t="shared" si="6"/>
        <v>0</v>
      </c>
      <c r="P17" s="13"/>
      <c r="Q17" s="13"/>
      <c r="R17" s="13"/>
      <c r="S17" s="13"/>
      <c r="T17" s="13"/>
      <c r="U17" s="13"/>
      <c r="V17" s="41"/>
      <c r="W17" s="80"/>
      <c r="X17" s="41"/>
      <c r="Y17" s="41"/>
      <c r="Z17" s="41"/>
      <c r="AA17" s="41"/>
      <c r="AB17" s="41"/>
      <c r="AC17" s="41"/>
      <c r="AD17" s="41"/>
      <c r="AE17" s="41"/>
      <c r="AF17" s="98"/>
      <c r="AG17" s="98"/>
      <c r="AH17" s="98"/>
      <c r="AI17" s="41"/>
      <c r="AJ17" s="92">
        <f t="shared" si="7"/>
        <v>0</v>
      </c>
      <c r="AK17" s="4"/>
      <c r="AL17" s="90"/>
    </row>
    <row r="18" spans="2:38" s="7" customFormat="1" ht="21.75" hidden="1" customHeight="1" x14ac:dyDescent="0.3">
      <c r="B18" s="31">
        <v>46111</v>
      </c>
      <c r="C18" s="62" t="s">
        <v>21</v>
      </c>
      <c r="D18" s="101" t="str">
        <f t="shared" si="8"/>
        <v>알루미늄리드지 (Iris-알리샤브라운)_무광 코팅</v>
      </c>
      <c r="E18" s="69"/>
      <c r="F18" s="57">
        <v>200000</v>
      </c>
      <c r="G18" s="50">
        <v>46118</v>
      </c>
      <c r="H18" s="51">
        <v>46120</v>
      </c>
      <c r="I18" s="118"/>
      <c r="J18" s="19"/>
      <c r="K18" s="19" t="s">
        <v>1195</v>
      </c>
      <c r="L18" s="6"/>
      <c r="M18" s="13">
        <f>IFERROR(_xlfn.XLOOKUP(C18,[1]III.재고현황!O:O,[1]III.재고현황!R:R),)</f>
        <v>539000</v>
      </c>
      <c r="N18" s="60">
        <f t="shared" si="5"/>
        <v>-42000</v>
      </c>
      <c r="O18" s="42">
        <f t="shared" si="6"/>
        <v>242000</v>
      </c>
      <c r="P18" s="13"/>
      <c r="Q18" s="13">
        <v>242000</v>
      </c>
      <c r="R18" s="13"/>
      <c r="S18" s="13"/>
      <c r="T18" s="13"/>
      <c r="U18" s="13"/>
      <c r="V18" s="41"/>
      <c r="W18" s="80"/>
      <c r="X18" s="41"/>
      <c r="Y18" s="41"/>
      <c r="Z18" s="41"/>
      <c r="AA18" s="41"/>
      <c r="AB18" s="41"/>
      <c r="AC18" s="41"/>
      <c r="AD18" s="41"/>
      <c r="AE18" s="41"/>
      <c r="AF18" s="98"/>
      <c r="AG18" s="98"/>
      <c r="AH18" s="98"/>
      <c r="AI18" s="41"/>
      <c r="AJ18" s="92">
        <f t="shared" si="7"/>
        <v>0</v>
      </c>
      <c r="AK18" s="4"/>
      <c r="AL18" s="90"/>
    </row>
    <row r="19" spans="2:38" s="7" customFormat="1" ht="21.75" hidden="1" customHeight="1" x14ac:dyDescent="0.3">
      <c r="B19" s="31">
        <v>46111</v>
      </c>
      <c r="C19" s="62" t="s">
        <v>22</v>
      </c>
      <c r="D19" s="101" t="str">
        <f t="shared" si="8"/>
        <v>알루미늄리드지 (무지-백색_PET12/AL30/CPP100_White 리버스인쇄)</v>
      </c>
      <c r="E19" s="68"/>
      <c r="F19" s="57">
        <v>2000000</v>
      </c>
      <c r="G19" s="50">
        <v>46120</v>
      </c>
      <c r="H19" s="51"/>
      <c r="I19" s="118"/>
      <c r="J19" s="93"/>
      <c r="K19" s="19" t="s">
        <v>1195</v>
      </c>
      <c r="L19" s="6"/>
      <c r="M19" s="13">
        <f>IFERROR(_xlfn.XLOOKUP(C19,[1]III.재고현황!O:O,[1]III.재고현황!R:R),)</f>
        <v>835000</v>
      </c>
      <c r="N19" s="60">
        <f t="shared" si="5"/>
        <v>1300000</v>
      </c>
      <c r="O19" s="42">
        <f t="shared" si="6"/>
        <v>700000</v>
      </c>
      <c r="P19" s="13"/>
      <c r="Q19" s="13"/>
      <c r="R19" s="13"/>
      <c r="S19" s="13"/>
      <c r="T19" s="13"/>
      <c r="U19" s="13"/>
      <c r="V19" s="41"/>
      <c r="W19" s="80"/>
      <c r="X19" s="41"/>
      <c r="Y19" s="75">
        <v>700000</v>
      </c>
      <c r="Z19" s="41"/>
      <c r="AA19" s="41"/>
      <c r="AB19" s="41"/>
      <c r="AC19" s="41"/>
      <c r="AD19" s="41"/>
      <c r="AE19" s="41"/>
      <c r="AF19" s="98">
        <v>0</v>
      </c>
      <c r="AG19" s="98"/>
      <c r="AH19" s="98"/>
      <c r="AI19" s="41"/>
      <c r="AJ19" s="92">
        <f t="shared" si="7"/>
        <v>700000</v>
      </c>
      <c r="AK19" s="4"/>
      <c r="AL19" s="90"/>
    </row>
    <row r="20" spans="2:38" s="7" customFormat="1" ht="21.75" hidden="1" customHeight="1" x14ac:dyDescent="0.3">
      <c r="B20" s="31">
        <v>46111</v>
      </c>
      <c r="C20" s="62" t="s">
        <v>23</v>
      </c>
      <c r="D20" s="101" t="str">
        <f t="shared" si="8"/>
        <v>알루미늄리드지 (국내/중국 1-Day Soft)_무광 코팅</v>
      </c>
      <c r="E20" s="68"/>
      <c r="F20" s="57">
        <v>1500000</v>
      </c>
      <c r="G20" s="50">
        <v>46120</v>
      </c>
      <c r="H20" s="51">
        <v>46122</v>
      </c>
      <c r="I20" s="118"/>
      <c r="J20" s="20"/>
      <c r="K20" s="19" t="s">
        <v>1195</v>
      </c>
      <c r="L20" s="6"/>
      <c r="M20" s="13">
        <f>IFERROR(_xlfn.XLOOKUP(C20,[1]III.재고현황!O:O,[1]III.재고현황!R:R),)</f>
        <v>3829000</v>
      </c>
      <c r="N20" s="60">
        <f t="shared" si="5"/>
        <v>-47000</v>
      </c>
      <c r="O20" s="42">
        <f t="shared" si="6"/>
        <v>1547000</v>
      </c>
      <c r="P20" s="13"/>
      <c r="Q20" s="13"/>
      <c r="R20" s="13"/>
      <c r="S20" s="13"/>
      <c r="T20" s="41">
        <v>1547000</v>
      </c>
      <c r="U20" s="13"/>
      <c r="V20" s="41"/>
      <c r="W20" s="80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92">
        <f t="shared" si="7"/>
        <v>0</v>
      </c>
      <c r="AK20" s="4"/>
      <c r="AL20" s="90"/>
    </row>
    <row r="21" spans="2:38" s="7" customFormat="1" ht="21.75" hidden="1" customHeight="1" x14ac:dyDescent="0.3">
      <c r="B21" s="31">
        <v>46111</v>
      </c>
      <c r="C21" s="62" t="s">
        <v>24</v>
      </c>
      <c r="D21" s="101" t="str">
        <f t="shared" si="8"/>
        <v>알루미늄리드지 (렌즈미 CleanFit O2 clear 1Day (30개입))</v>
      </c>
      <c r="E21" s="68"/>
      <c r="F21" s="57">
        <v>1000000</v>
      </c>
      <c r="G21" s="50">
        <v>46122</v>
      </c>
      <c r="H21" s="51" t="s">
        <v>1108</v>
      </c>
      <c r="I21" s="118"/>
      <c r="J21" s="20"/>
      <c r="K21" s="19" t="s">
        <v>1195</v>
      </c>
      <c r="L21" s="97"/>
      <c r="M21" s="13">
        <f>IFERROR(_xlfn.XLOOKUP(C21,[1]III.재고현황!O:O,[1]III.재고현황!R:R),)</f>
        <v>0</v>
      </c>
      <c r="N21" s="60">
        <f t="shared" si="5"/>
        <v>42000</v>
      </c>
      <c r="O21" s="42">
        <f t="shared" si="6"/>
        <v>958000</v>
      </c>
      <c r="P21" s="13"/>
      <c r="Q21" s="13"/>
      <c r="R21" s="13"/>
      <c r="S21" s="13"/>
      <c r="T21" s="13"/>
      <c r="U21" s="13"/>
      <c r="V21" s="41"/>
      <c r="W21" s="80"/>
      <c r="X21" s="41"/>
      <c r="Y21" s="41"/>
      <c r="Z21" s="41"/>
      <c r="AA21" s="41"/>
      <c r="AB21" s="41"/>
      <c r="AC21" s="41"/>
      <c r="AD21" s="75">
        <v>481000</v>
      </c>
      <c r="AE21" s="75">
        <v>477000</v>
      </c>
      <c r="AF21" s="41"/>
      <c r="AG21" s="41"/>
      <c r="AH21" s="41"/>
      <c r="AI21" s="41"/>
      <c r="AJ21" s="92">
        <f t="shared" si="7"/>
        <v>958000</v>
      </c>
      <c r="AK21" s="4"/>
      <c r="AL21" s="90"/>
    </row>
    <row r="22" spans="2:38" s="7" customFormat="1" ht="21.75" hidden="1" customHeight="1" x14ac:dyDescent="0.3">
      <c r="B22" s="31">
        <v>46111</v>
      </c>
      <c r="C22" s="62" t="s">
        <v>25</v>
      </c>
      <c r="D22" s="101" t="str">
        <f t="shared" si="8"/>
        <v>알루미늄리드지 (Clalen O2O2 Color 1Day)_무광 코팅</v>
      </c>
      <c r="E22" s="68"/>
      <c r="F22" s="57">
        <v>1000000</v>
      </c>
      <c r="G22" s="50">
        <v>46125</v>
      </c>
      <c r="H22" s="51"/>
      <c r="I22" s="118"/>
      <c r="J22" s="20"/>
      <c r="K22" s="19" t="s">
        <v>1195</v>
      </c>
      <c r="L22" s="6"/>
      <c r="M22" s="13">
        <f>IFERROR(_xlfn.XLOOKUP(C22,[1]III.재고현황!O:O,[1]III.재고현황!R:R),)</f>
        <v>2473000</v>
      </c>
      <c r="N22" s="60">
        <f t="shared" si="5"/>
        <v>1000000</v>
      </c>
      <c r="O22" s="42">
        <f t="shared" si="6"/>
        <v>0</v>
      </c>
      <c r="P22" s="13"/>
      <c r="Q22" s="13"/>
      <c r="R22" s="13"/>
      <c r="S22" s="13"/>
      <c r="T22" s="13"/>
      <c r="U22" s="13"/>
      <c r="V22" s="41">
        <v>0</v>
      </c>
      <c r="W22" s="80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92">
        <f t="shared" si="7"/>
        <v>0</v>
      </c>
      <c r="AK22" s="4"/>
      <c r="AL22" s="90"/>
    </row>
    <row r="23" spans="2:38" s="7" customFormat="1" ht="21.75" hidden="1" customHeight="1" x14ac:dyDescent="0.3">
      <c r="B23" s="31">
        <v>46111</v>
      </c>
      <c r="C23" s="62" t="s">
        <v>26</v>
      </c>
      <c r="D23" s="101" t="str">
        <f t="shared" si="8"/>
        <v>알루미늄리드지 (Iris_수지브라운)_무광 코팅</v>
      </c>
      <c r="E23" s="68"/>
      <c r="F23" s="57">
        <v>1000000</v>
      </c>
      <c r="G23" s="50">
        <v>46126</v>
      </c>
      <c r="H23" s="51" t="s">
        <v>1103</v>
      </c>
      <c r="I23" s="118"/>
      <c r="J23" s="20"/>
      <c r="K23" s="19" t="s">
        <v>1195</v>
      </c>
      <c r="L23" s="6"/>
      <c r="M23" s="13">
        <f>IFERROR(_xlfn.XLOOKUP(C23,[1]III.재고현황!O:O,[1]III.재고현황!R:R),)</f>
        <v>0</v>
      </c>
      <c r="N23" s="60">
        <f t="shared" si="5"/>
        <v>-15000</v>
      </c>
      <c r="O23" s="42">
        <f t="shared" si="6"/>
        <v>1015000</v>
      </c>
      <c r="P23" s="13"/>
      <c r="Q23" s="13"/>
      <c r="R23" s="13"/>
      <c r="S23" s="13"/>
      <c r="T23" s="13"/>
      <c r="U23" s="13"/>
      <c r="V23" s="41"/>
      <c r="W23" s="80">
        <v>0</v>
      </c>
      <c r="X23" s="41"/>
      <c r="Y23" s="41"/>
      <c r="Z23" s="41"/>
      <c r="AA23" s="41"/>
      <c r="AB23" s="41"/>
      <c r="AC23" s="41"/>
      <c r="AD23" s="41"/>
      <c r="AE23" s="41"/>
      <c r="AF23" s="75">
        <v>487000</v>
      </c>
      <c r="AG23" s="75">
        <v>528000</v>
      </c>
      <c r="AH23" s="41"/>
      <c r="AI23" s="41"/>
      <c r="AJ23" s="92">
        <f t="shared" si="7"/>
        <v>1015000</v>
      </c>
      <c r="AK23" s="4"/>
      <c r="AL23" s="90"/>
    </row>
    <row r="24" spans="2:38" s="7" customFormat="1" ht="21.75" hidden="1" customHeight="1" x14ac:dyDescent="0.3">
      <c r="B24" s="31">
        <v>46114</v>
      </c>
      <c r="C24" s="62" t="s">
        <v>27</v>
      </c>
      <c r="D24" s="101" t="str">
        <f t="shared" si="8"/>
        <v>알루미늄리드지 (PIA_1M 38% LILMOON 리드지)</v>
      </c>
      <c r="E24" s="69"/>
      <c r="F24" s="57">
        <v>200000</v>
      </c>
      <c r="G24" s="50">
        <v>46120</v>
      </c>
      <c r="H24" s="51">
        <v>46119</v>
      </c>
      <c r="I24" s="118"/>
      <c r="J24" s="19"/>
      <c r="K24" s="19" t="s">
        <v>1195</v>
      </c>
      <c r="L24" s="16"/>
      <c r="M24" s="13">
        <f>IFERROR(_xlfn.XLOOKUP(C24,[1]III.재고현황!O:O,[1]III.재고현황!R:R),)</f>
        <v>192000</v>
      </c>
      <c r="N24" s="60">
        <f t="shared" si="5"/>
        <v>-40000</v>
      </c>
      <c r="O24" s="42">
        <f t="shared" si="6"/>
        <v>240000</v>
      </c>
      <c r="P24" s="13"/>
      <c r="Q24" s="13"/>
      <c r="R24" s="13"/>
      <c r="S24" s="13"/>
      <c r="T24" s="13">
        <v>240000</v>
      </c>
      <c r="U24" s="13"/>
      <c r="V24" s="41"/>
      <c r="W24" s="80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92">
        <f t="shared" si="7"/>
        <v>0</v>
      </c>
      <c r="AK24" s="4"/>
      <c r="AL24" s="90"/>
    </row>
    <row r="25" spans="2:38" s="7" customFormat="1" ht="21.75" hidden="1" customHeight="1" x14ac:dyDescent="0.3">
      <c r="B25" s="31">
        <v>46114</v>
      </c>
      <c r="C25" s="62" t="s">
        <v>23</v>
      </c>
      <c r="D25" s="101" t="str">
        <f t="shared" si="8"/>
        <v>알루미늄리드지 (국내/중국 1-Day Soft)_무광 코팅</v>
      </c>
      <c r="E25" s="68"/>
      <c r="F25" s="57">
        <v>1500000</v>
      </c>
      <c r="G25" s="50">
        <v>46125</v>
      </c>
      <c r="H25" s="51" t="s">
        <v>1091</v>
      </c>
      <c r="I25" s="118"/>
      <c r="J25" s="20"/>
      <c r="K25" s="19" t="s">
        <v>1195</v>
      </c>
      <c r="L25" s="6"/>
      <c r="M25" s="13">
        <f>IFERROR(_xlfn.XLOOKUP(C25,[1]III.재고현황!O:O,[1]III.재고현황!R:R),)</f>
        <v>3829000</v>
      </c>
      <c r="N25" s="60">
        <f t="shared" si="5"/>
        <v>438000</v>
      </c>
      <c r="O25" s="42">
        <f t="shared" si="6"/>
        <v>1062000</v>
      </c>
      <c r="P25" s="13"/>
      <c r="Q25" s="13"/>
      <c r="R25" s="13"/>
      <c r="S25" s="13"/>
      <c r="T25" s="13"/>
      <c r="U25" s="13"/>
      <c r="V25" s="41"/>
      <c r="W25" s="96">
        <v>1062000</v>
      </c>
      <c r="X25" s="41">
        <v>0</v>
      </c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92">
        <f t="shared" si="7"/>
        <v>0</v>
      </c>
      <c r="AK25" s="4"/>
      <c r="AL25" s="90"/>
    </row>
    <row r="26" spans="2:38" s="7" customFormat="1" ht="21.75" hidden="1" customHeight="1" x14ac:dyDescent="0.3">
      <c r="B26" s="31">
        <v>46120</v>
      </c>
      <c r="C26" s="62" t="s">
        <v>30</v>
      </c>
      <c r="D26" s="101" t="str">
        <f t="shared" si="8"/>
        <v>알루미늄리드지 (러시아 Optic Center 1-Day GO 리드지)</v>
      </c>
      <c r="E26" s="87" t="s">
        <v>1093</v>
      </c>
      <c r="F26" s="57">
        <v>1000000</v>
      </c>
      <c r="G26" s="50">
        <v>46127</v>
      </c>
      <c r="H26" s="51" t="s">
        <v>1121</v>
      </c>
      <c r="I26" s="118"/>
      <c r="J26" s="20"/>
      <c r="K26" s="19" t="s">
        <v>1195</v>
      </c>
      <c r="L26" s="6"/>
      <c r="M26" s="13">
        <f>IFERROR(_xlfn.XLOOKUP(C26,[1]III.재고현황!O:O,[1]III.재고현황!R:R),)</f>
        <v>528000</v>
      </c>
      <c r="N26" s="60">
        <f t="shared" si="5"/>
        <v>-23000</v>
      </c>
      <c r="O26" s="42">
        <f t="shared" si="6"/>
        <v>1023000</v>
      </c>
      <c r="P26" s="13"/>
      <c r="Q26" s="13"/>
      <c r="R26" s="13"/>
      <c r="S26" s="13"/>
      <c r="T26" s="13"/>
      <c r="U26" s="13"/>
      <c r="V26" s="41"/>
      <c r="W26" s="80"/>
      <c r="X26" s="41">
        <v>0</v>
      </c>
      <c r="Y26" s="41"/>
      <c r="Z26" s="41"/>
      <c r="AA26" s="41"/>
      <c r="AB26" s="41"/>
      <c r="AC26" s="41"/>
      <c r="AD26" s="41"/>
      <c r="AE26" s="41"/>
      <c r="AF26" s="41"/>
      <c r="AG26" s="41"/>
      <c r="AH26" s="75">
        <v>483000</v>
      </c>
      <c r="AI26" s="75">
        <v>540000</v>
      </c>
      <c r="AJ26" s="92">
        <f t="shared" si="7"/>
        <v>1023000</v>
      </c>
      <c r="AK26" s="4"/>
      <c r="AL26" s="90"/>
    </row>
    <row r="27" spans="2:38" s="7" customFormat="1" ht="21.75" hidden="1" customHeight="1" x14ac:dyDescent="0.3">
      <c r="B27" s="31">
        <v>46120</v>
      </c>
      <c r="C27" s="62" t="s">
        <v>31</v>
      </c>
      <c r="D27" s="101" t="str">
        <f t="shared" si="8"/>
        <v>알루미늄리드지 (폴란드 FML Oviso Hioxi D 리드지)</v>
      </c>
      <c r="E27" s="87" t="s">
        <v>1094</v>
      </c>
      <c r="F27" s="57">
        <v>500000</v>
      </c>
      <c r="G27" s="50">
        <v>46127</v>
      </c>
      <c r="H27" s="51" t="s">
        <v>1090</v>
      </c>
      <c r="I27" s="118"/>
      <c r="J27" s="20"/>
      <c r="K27" s="19" t="s">
        <v>1195</v>
      </c>
      <c r="L27" s="16"/>
      <c r="M27" s="13">
        <f>IFERROR(_xlfn.XLOOKUP(C27,[1]III.재고현황!O:O,[1]III.재고현황!R:R),)</f>
        <v>0</v>
      </c>
      <c r="N27" s="60">
        <f t="shared" si="5"/>
        <v>-34000</v>
      </c>
      <c r="O27" s="42">
        <f t="shared" si="6"/>
        <v>534000</v>
      </c>
      <c r="P27" s="13"/>
      <c r="Q27" s="13"/>
      <c r="R27" s="13"/>
      <c r="S27" s="13"/>
      <c r="T27" s="13"/>
      <c r="U27" s="13"/>
      <c r="V27" s="41"/>
      <c r="W27" s="80"/>
      <c r="X27" s="75">
        <v>196000</v>
      </c>
      <c r="Y27" s="75">
        <v>338000</v>
      </c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92">
        <f t="shared" si="7"/>
        <v>534000</v>
      </c>
      <c r="AK27" s="4"/>
      <c r="AL27" s="90"/>
    </row>
    <row r="28" spans="2:38" s="7" customFormat="1" ht="21.75" hidden="1" customHeight="1" x14ac:dyDescent="0.3">
      <c r="B28" s="31">
        <v>46120</v>
      </c>
      <c r="C28" s="62" t="s">
        <v>32</v>
      </c>
      <c r="D28" s="101" t="str">
        <f t="shared" si="8"/>
        <v>알루미늄리드지 (이탈리아 Esoform Bioxi D_Visiosan)_유광코팅</v>
      </c>
      <c r="E28" s="106" t="s">
        <v>1064</v>
      </c>
      <c r="F28" s="57">
        <v>1500000</v>
      </c>
      <c r="G28" s="50">
        <v>46127</v>
      </c>
      <c r="H28" s="51" t="s">
        <v>1178</v>
      </c>
      <c r="I28" s="118" t="s">
        <v>1198</v>
      </c>
      <c r="J28" s="20"/>
      <c r="K28" s="19" t="s">
        <v>1195</v>
      </c>
      <c r="L28" s="97"/>
      <c r="M28" s="13">
        <f>IFERROR(_xlfn.XLOOKUP(C28,[1]III.재고현황!O:O,[1]III.재고현황!R:R),)</f>
        <v>0</v>
      </c>
      <c r="N28" s="60">
        <f t="shared" si="5"/>
        <v>-72000</v>
      </c>
      <c r="O28" s="42">
        <f t="shared" si="6"/>
        <v>1572000</v>
      </c>
      <c r="P28" s="13"/>
      <c r="Q28" s="13"/>
      <c r="R28" s="13"/>
      <c r="S28" s="13"/>
      <c r="T28" s="13"/>
      <c r="U28" s="13"/>
      <c r="V28" s="41"/>
      <c r="W28" s="80"/>
      <c r="X28" s="41">
        <v>744000</v>
      </c>
      <c r="Y28" s="41">
        <v>828000</v>
      </c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92">
        <f t="shared" si="7"/>
        <v>1572000</v>
      </c>
      <c r="AK28" s="4"/>
      <c r="AL28" s="90"/>
    </row>
    <row r="29" spans="2:38" s="7" customFormat="1" ht="21.75" hidden="1" customHeight="1" x14ac:dyDescent="0.3">
      <c r="B29" s="31">
        <v>46120</v>
      </c>
      <c r="C29" s="62" t="s">
        <v>33</v>
      </c>
      <c r="D29" s="101" t="str">
        <f t="shared" si="8"/>
        <v>알루미늄리드지 (원데이-데일리)_유광 코팅</v>
      </c>
      <c r="E29" s="87" t="s">
        <v>1098</v>
      </c>
      <c r="F29" s="57">
        <v>1000000</v>
      </c>
      <c r="G29" s="50">
        <v>46129</v>
      </c>
      <c r="H29" s="51" t="s">
        <v>1089</v>
      </c>
      <c r="I29" s="118"/>
      <c r="J29" s="19"/>
      <c r="K29" s="19" t="s">
        <v>1195</v>
      </c>
      <c r="L29" s="6"/>
      <c r="M29" s="13">
        <f>IFERROR(_xlfn.XLOOKUP(C29,[1]III.재고현황!O:O,[1]III.재고현황!R:R),)</f>
        <v>0</v>
      </c>
      <c r="N29" s="60">
        <f t="shared" si="5"/>
        <v>-43000</v>
      </c>
      <c r="O29" s="42">
        <f t="shared" si="6"/>
        <v>1043000</v>
      </c>
      <c r="P29" s="13"/>
      <c r="Q29" s="13"/>
      <c r="R29" s="13"/>
      <c r="S29" s="13"/>
      <c r="T29" s="13"/>
      <c r="U29" s="13"/>
      <c r="V29" s="41"/>
      <c r="W29" s="80"/>
      <c r="X29" s="41"/>
      <c r="Y29" s="75">
        <v>497000</v>
      </c>
      <c r="Z29" s="76">
        <v>546000</v>
      </c>
      <c r="AA29" s="41"/>
      <c r="AB29" s="41"/>
      <c r="AC29" s="41"/>
      <c r="AD29" s="41"/>
      <c r="AE29" s="41"/>
      <c r="AF29" s="41"/>
      <c r="AG29" s="41"/>
      <c r="AH29" s="41"/>
      <c r="AI29" s="41"/>
      <c r="AJ29" s="92">
        <f t="shared" si="7"/>
        <v>1043000</v>
      </c>
      <c r="AK29" s="4"/>
      <c r="AL29" s="90"/>
    </row>
    <row r="30" spans="2:38" s="7" customFormat="1" ht="21.75" hidden="1" customHeight="1" x14ac:dyDescent="0.3">
      <c r="B30" s="31">
        <v>46120</v>
      </c>
      <c r="C30" s="62" t="s">
        <v>34</v>
      </c>
      <c r="D30" s="101" t="str">
        <f t="shared" si="8"/>
        <v>알루미늄리드지 (이태리 soleko US 58% 1day)_유광 코팅</v>
      </c>
      <c r="E30" s="70" t="s">
        <v>1095</v>
      </c>
      <c r="F30" s="57">
        <v>500000</v>
      </c>
      <c r="G30" s="50">
        <v>46129</v>
      </c>
      <c r="H30" s="51"/>
      <c r="I30" s="118"/>
      <c r="J30" s="19"/>
      <c r="K30" s="19" t="s">
        <v>1195</v>
      </c>
      <c r="L30" s="6"/>
      <c r="M30" s="13">
        <f>IFERROR(_xlfn.XLOOKUP(C30,[1]III.재고현황!O:O,[1]III.재고현황!R:R),)</f>
        <v>0</v>
      </c>
      <c r="N30" s="60">
        <f t="shared" si="5"/>
        <v>-377000</v>
      </c>
      <c r="O30" s="42">
        <f t="shared" si="6"/>
        <v>877000</v>
      </c>
      <c r="P30" s="13"/>
      <c r="Q30" s="13"/>
      <c r="R30" s="13"/>
      <c r="S30" s="13"/>
      <c r="T30" s="13"/>
      <c r="U30" s="13"/>
      <c r="V30" s="41"/>
      <c r="W30" s="80"/>
      <c r="X30" s="41"/>
      <c r="Y30" s="41"/>
      <c r="Z30" s="76">
        <v>877000</v>
      </c>
      <c r="AA30" s="41"/>
      <c r="AB30" s="41"/>
      <c r="AC30" s="41"/>
      <c r="AD30" s="41"/>
      <c r="AE30" s="41"/>
      <c r="AF30" s="41"/>
      <c r="AG30" s="41"/>
      <c r="AH30" s="41"/>
      <c r="AI30" s="41"/>
      <c r="AJ30" s="92">
        <f t="shared" si="7"/>
        <v>877000</v>
      </c>
      <c r="AK30" s="4"/>
      <c r="AL30" s="90"/>
    </row>
    <row r="31" spans="2:38" s="7" customFormat="1" ht="21.75" hidden="1" customHeight="1" x14ac:dyDescent="0.3">
      <c r="B31" s="152">
        <v>46127</v>
      </c>
      <c r="C31" s="62" t="s">
        <v>34</v>
      </c>
      <c r="D31" s="101" t="str">
        <f t="shared" ref="D31" si="9">IFERROR(VLOOKUP(C31,제품목록,3,FALSE),"")</f>
        <v>알루미늄리드지 (이태리 soleko US 58% 1day)_유광 코팅</v>
      </c>
      <c r="E31" s="70" t="s">
        <v>1095</v>
      </c>
      <c r="F31" s="57">
        <v>300000</v>
      </c>
      <c r="G31" s="50">
        <v>46132</v>
      </c>
      <c r="H31" s="51"/>
      <c r="I31" s="118"/>
      <c r="J31" s="19"/>
      <c r="K31" s="19" t="s">
        <v>1195</v>
      </c>
      <c r="L31" s="6"/>
      <c r="M31" s="13">
        <f>IFERROR(_xlfn.XLOOKUP(C31,[1]III.재고현황!O:O,[1]III.재고현황!R:R),)</f>
        <v>0</v>
      </c>
      <c r="N31" s="60">
        <f t="shared" si="5"/>
        <v>300000</v>
      </c>
      <c r="O31" s="42">
        <f t="shared" si="6"/>
        <v>0</v>
      </c>
      <c r="P31" s="13"/>
      <c r="Q31" s="13"/>
      <c r="R31" s="13"/>
      <c r="S31" s="13"/>
      <c r="T31" s="13"/>
      <c r="U31" s="13"/>
      <c r="V31" s="41"/>
      <c r="W31" s="80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92">
        <f t="shared" si="7"/>
        <v>0</v>
      </c>
      <c r="AK31" s="4"/>
      <c r="AL31" s="90"/>
    </row>
    <row r="32" spans="2:38" s="7" customFormat="1" ht="21.75" hidden="1" customHeight="1" x14ac:dyDescent="0.3">
      <c r="B32" s="31">
        <v>46120</v>
      </c>
      <c r="C32" s="62" t="s">
        <v>35</v>
      </c>
      <c r="D32" s="101" t="str">
        <f t="shared" si="8"/>
        <v>알루미늄리드지 (PIA_1D 55% Resay 리드지)</v>
      </c>
      <c r="E32" s="106"/>
      <c r="F32" s="57">
        <v>1500000</v>
      </c>
      <c r="G32" s="50">
        <v>46132</v>
      </c>
      <c r="H32" s="51" t="s">
        <v>1133</v>
      </c>
      <c r="I32" s="118"/>
      <c r="J32" s="20"/>
      <c r="K32" s="19" t="s">
        <v>1195</v>
      </c>
      <c r="L32" s="16"/>
      <c r="M32" s="13">
        <f>IFERROR(_xlfn.XLOOKUP(C32,[1]III.재고현황!O:O,[1]III.재고현황!R:R),)</f>
        <v>459000</v>
      </c>
      <c r="N32" s="60">
        <f t="shared" si="5"/>
        <v>189000</v>
      </c>
      <c r="O32" s="42">
        <f t="shared" si="6"/>
        <v>1311000</v>
      </c>
      <c r="P32" s="13"/>
      <c r="Q32" s="13">
        <v>555000</v>
      </c>
      <c r="R32" s="13">
        <v>756000</v>
      </c>
      <c r="S32" s="13"/>
      <c r="T32" s="13"/>
      <c r="U32" s="13"/>
      <c r="V32" s="41"/>
      <c r="W32" s="80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92">
        <f t="shared" si="7"/>
        <v>0</v>
      </c>
      <c r="AK32" s="4"/>
      <c r="AL32" s="90"/>
    </row>
    <row r="33" spans="2:38" s="7" customFormat="1" ht="21.75" hidden="1" customHeight="1" x14ac:dyDescent="0.3">
      <c r="B33" s="31">
        <v>46120</v>
      </c>
      <c r="C33" s="62" t="s">
        <v>36</v>
      </c>
      <c r="D33" s="101" t="str">
        <f t="shared" si="8"/>
        <v>알루미늄리드지 (PIA 1Day)_유광 코팅</v>
      </c>
      <c r="E33" s="70"/>
      <c r="F33" s="57">
        <v>2000000</v>
      </c>
      <c r="G33" s="50">
        <v>46132</v>
      </c>
      <c r="H33" s="51"/>
      <c r="I33" s="118"/>
      <c r="J33" s="19"/>
      <c r="K33" s="19" t="s">
        <v>1195</v>
      </c>
      <c r="L33" s="6"/>
      <c r="M33" s="13">
        <f>IFERROR(_xlfn.XLOOKUP(C33,[1]III.재고현황!O:O,[1]III.재고현황!R:R),)</f>
        <v>1115000</v>
      </c>
      <c r="N33" s="60">
        <f t="shared" si="5"/>
        <v>-150000</v>
      </c>
      <c r="O33" s="42">
        <f t="shared" si="6"/>
        <v>2150000</v>
      </c>
      <c r="P33" s="13"/>
      <c r="Q33" s="13"/>
      <c r="R33" s="13"/>
      <c r="S33" s="13"/>
      <c r="T33" s="13"/>
      <c r="U33" s="13"/>
      <c r="V33" s="41"/>
      <c r="W33" s="80"/>
      <c r="X33" s="41"/>
      <c r="Y33" s="75">
        <v>2150000</v>
      </c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92">
        <f t="shared" si="7"/>
        <v>2150000</v>
      </c>
      <c r="AK33" s="4"/>
      <c r="AL33" s="90"/>
    </row>
    <row r="34" spans="2:38" s="7" customFormat="1" ht="21.75" hidden="1" customHeight="1" x14ac:dyDescent="0.3">
      <c r="B34" s="152">
        <v>46127</v>
      </c>
      <c r="C34" s="62" t="s">
        <v>753</v>
      </c>
      <c r="D34" s="101" t="str">
        <f t="shared" si="8"/>
        <v>알루미늄리드지 (영국 FGC SiHy 1Day 리드지)</v>
      </c>
      <c r="E34" s="70" t="s">
        <v>1096</v>
      </c>
      <c r="F34" s="57">
        <v>300000</v>
      </c>
      <c r="G34" s="50">
        <v>46139</v>
      </c>
      <c r="H34" s="51" t="s">
        <v>1109</v>
      </c>
      <c r="I34" s="118"/>
      <c r="J34" s="20"/>
      <c r="K34" s="19" t="s">
        <v>1195</v>
      </c>
      <c r="L34" s="6"/>
      <c r="M34" s="13"/>
      <c r="N34" s="60">
        <f t="shared" si="5"/>
        <v>-36000</v>
      </c>
      <c r="O34" s="42">
        <f t="shared" si="6"/>
        <v>336000</v>
      </c>
      <c r="P34" s="13"/>
      <c r="Q34" s="13"/>
      <c r="R34" s="13"/>
      <c r="S34" s="13"/>
      <c r="T34" s="13"/>
      <c r="U34" s="13"/>
      <c r="V34" s="41"/>
      <c r="W34" s="80"/>
      <c r="X34" s="41"/>
      <c r="Y34" s="41"/>
      <c r="Z34" s="41"/>
      <c r="AA34" s="41"/>
      <c r="AB34" s="41"/>
      <c r="AC34" s="41"/>
      <c r="AD34" s="41"/>
      <c r="AE34" s="41"/>
      <c r="AF34" s="75">
        <v>336000</v>
      </c>
      <c r="AG34" s="41"/>
      <c r="AH34" s="41"/>
      <c r="AI34" s="41"/>
      <c r="AJ34" s="92">
        <f t="shared" si="7"/>
        <v>336000</v>
      </c>
      <c r="AK34" s="4"/>
      <c r="AL34" s="90"/>
    </row>
    <row r="35" spans="2:38" s="7" customFormat="1" ht="21.75" hidden="1" customHeight="1" x14ac:dyDescent="0.3">
      <c r="B35" s="152">
        <v>46127</v>
      </c>
      <c r="C35" s="62" t="s">
        <v>875</v>
      </c>
      <c r="D35" s="101" t="str">
        <f t="shared" si="8"/>
        <v>알루미늄리드지 (중국 Lensmart_Clalen_55% Metha 1Day_30P)</v>
      </c>
      <c r="E35" s="106" t="s">
        <v>1100</v>
      </c>
      <c r="F35" s="57">
        <v>400000</v>
      </c>
      <c r="G35" s="50">
        <v>46142</v>
      </c>
      <c r="H35" s="51" t="s">
        <v>1134</v>
      </c>
      <c r="I35" s="118"/>
      <c r="J35" s="20"/>
      <c r="K35" s="19" t="s">
        <v>1195</v>
      </c>
      <c r="L35" s="103"/>
      <c r="M35" s="13"/>
      <c r="N35" s="60">
        <f t="shared" si="5"/>
        <v>-48000</v>
      </c>
      <c r="O35" s="42">
        <f t="shared" si="6"/>
        <v>448000</v>
      </c>
      <c r="P35" s="13"/>
      <c r="Q35" s="13"/>
      <c r="R35" s="13"/>
      <c r="S35" s="13">
        <v>448000</v>
      </c>
      <c r="T35" s="13"/>
      <c r="U35" s="13"/>
      <c r="V35" s="41"/>
      <c r="W35" s="80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92">
        <f t="shared" si="7"/>
        <v>0</v>
      </c>
      <c r="AK35" s="4"/>
      <c r="AL35" s="90"/>
    </row>
    <row r="36" spans="2:38" s="7" customFormat="1" ht="21.75" hidden="1" customHeight="1" x14ac:dyDescent="0.3">
      <c r="B36" s="152">
        <v>46127</v>
      </c>
      <c r="C36" s="62" t="s">
        <v>128</v>
      </c>
      <c r="D36" s="101" t="str">
        <f t="shared" si="8"/>
        <v>알루미늄리드지 (원데이-MPG&amp;E)_유광 코팅</v>
      </c>
      <c r="E36" s="106" t="s">
        <v>1099</v>
      </c>
      <c r="F36" s="57">
        <v>300000</v>
      </c>
      <c r="G36" s="50">
        <v>46143</v>
      </c>
      <c r="H36" s="51" t="s">
        <v>1160</v>
      </c>
      <c r="I36" s="118"/>
      <c r="J36" s="20"/>
      <c r="K36" s="19" t="s">
        <v>1195</v>
      </c>
      <c r="L36" s="6"/>
      <c r="M36" s="13"/>
      <c r="N36" s="60">
        <f t="shared" si="5"/>
        <v>-49000</v>
      </c>
      <c r="O36" s="42">
        <f t="shared" si="6"/>
        <v>349000</v>
      </c>
      <c r="P36" s="13"/>
      <c r="Q36" s="13"/>
      <c r="R36" s="13"/>
      <c r="S36" s="13"/>
      <c r="T36" s="13">
        <v>349000</v>
      </c>
      <c r="U36" s="13"/>
      <c r="V36" s="41"/>
      <c r="W36" s="80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92">
        <f t="shared" si="7"/>
        <v>0</v>
      </c>
      <c r="AK36" s="4"/>
      <c r="AL36" s="90"/>
    </row>
    <row r="37" spans="2:38" s="7" customFormat="1" ht="21.75" hidden="1" customHeight="1" x14ac:dyDescent="0.3">
      <c r="B37" s="152">
        <v>46127</v>
      </c>
      <c r="C37" s="62" t="s">
        <v>813</v>
      </c>
      <c r="D37" s="101" t="str">
        <f t="shared" si="8"/>
        <v>알루미늄리드지 (영국 FGC SiHy 1Day MF 리드지)</v>
      </c>
      <c r="E37" s="70" t="s">
        <v>1097</v>
      </c>
      <c r="F37" s="57">
        <v>300000</v>
      </c>
      <c r="G37" s="50">
        <v>46139</v>
      </c>
      <c r="H37" s="51" t="s">
        <v>1102</v>
      </c>
      <c r="I37" s="118"/>
      <c r="J37" s="20"/>
      <c r="K37" s="19" t="s">
        <v>1195</v>
      </c>
      <c r="L37" s="6"/>
      <c r="M37" s="13"/>
      <c r="N37" s="60">
        <f t="shared" si="5"/>
        <v>-31000</v>
      </c>
      <c r="O37" s="42">
        <f t="shared" si="6"/>
        <v>331000</v>
      </c>
      <c r="P37" s="13"/>
      <c r="Q37" s="13"/>
      <c r="R37" s="13"/>
      <c r="S37" s="13"/>
      <c r="T37" s="13"/>
      <c r="U37" s="13"/>
      <c r="V37" s="41"/>
      <c r="W37" s="80"/>
      <c r="X37" s="41"/>
      <c r="Y37" s="41"/>
      <c r="Z37" s="41"/>
      <c r="AA37" s="41"/>
      <c r="AB37" s="41"/>
      <c r="AC37" s="41"/>
      <c r="AD37" s="41"/>
      <c r="AE37" s="75">
        <v>331000</v>
      </c>
      <c r="AF37" s="41"/>
      <c r="AG37" s="41"/>
      <c r="AH37" s="41"/>
      <c r="AI37" s="41"/>
      <c r="AJ37" s="92">
        <f t="shared" si="7"/>
        <v>331000</v>
      </c>
      <c r="AK37" s="4"/>
      <c r="AL37" s="90"/>
    </row>
    <row r="38" spans="2:38" s="7" customFormat="1" ht="21.75" hidden="1" customHeight="1" x14ac:dyDescent="0.3">
      <c r="B38" s="31">
        <v>46128</v>
      </c>
      <c r="C38" s="62" t="s">
        <v>1019</v>
      </c>
      <c r="D38" s="101" t="s">
        <v>1114</v>
      </c>
      <c r="E38" s="70" t="s">
        <v>1101</v>
      </c>
      <c r="F38" s="57">
        <v>150000</v>
      </c>
      <c r="G38" s="50">
        <v>46135</v>
      </c>
      <c r="H38" s="51" t="s">
        <v>1102</v>
      </c>
      <c r="I38" s="118"/>
      <c r="J38" s="20"/>
      <c r="K38" s="19" t="s">
        <v>1195</v>
      </c>
      <c r="L38" s="6"/>
      <c r="M38" s="13"/>
      <c r="N38" s="60">
        <f t="shared" si="5"/>
        <v>-58000</v>
      </c>
      <c r="O38" s="42">
        <f t="shared" si="6"/>
        <v>208000</v>
      </c>
      <c r="P38" s="13"/>
      <c r="Q38" s="13"/>
      <c r="R38" s="13"/>
      <c r="S38" s="13"/>
      <c r="T38" s="13"/>
      <c r="U38" s="13"/>
      <c r="V38" s="41"/>
      <c r="W38" s="80"/>
      <c r="X38" s="41"/>
      <c r="Y38" s="41"/>
      <c r="Z38" s="41"/>
      <c r="AA38" s="41"/>
      <c r="AB38" s="75">
        <v>208000</v>
      </c>
      <c r="AC38" s="75"/>
      <c r="AD38" s="75"/>
      <c r="AE38" s="75"/>
      <c r="AF38" s="41"/>
      <c r="AG38" s="41"/>
      <c r="AH38" s="41"/>
      <c r="AI38" s="41"/>
      <c r="AJ38" s="92">
        <f t="shared" si="7"/>
        <v>208000</v>
      </c>
      <c r="AK38" s="4"/>
      <c r="AL38" s="90"/>
    </row>
    <row r="39" spans="2:38" s="7" customFormat="1" ht="21.75" hidden="1" customHeight="1" x14ac:dyDescent="0.3">
      <c r="B39" s="31">
        <v>46132</v>
      </c>
      <c r="C39" s="62" t="s">
        <v>1104</v>
      </c>
      <c r="D39" s="101" t="s">
        <v>1107</v>
      </c>
      <c r="E39" s="70"/>
      <c r="F39" s="57">
        <v>500000</v>
      </c>
      <c r="G39" s="50">
        <v>46139</v>
      </c>
      <c r="H39" s="51" t="s">
        <v>1110</v>
      </c>
      <c r="I39" s="118"/>
      <c r="J39" s="20"/>
      <c r="K39" s="19" t="s">
        <v>1195</v>
      </c>
      <c r="L39" s="6"/>
      <c r="M39" s="13"/>
      <c r="N39" s="60">
        <f t="shared" si="5"/>
        <v>-27000</v>
      </c>
      <c r="O39" s="42">
        <f t="shared" si="6"/>
        <v>527000</v>
      </c>
      <c r="P39" s="13"/>
      <c r="Q39" s="13"/>
      <c r="R39" s="13"/>
      <c r="S39" s="13"/>
      <c r="T39" s="13"/>
      <c r="U39" s="13"/>
      <c r="V39" s="41"/>
      <c r="W39" s="80"/>
      <c r="X39" s="41"/>
      <c r="Y39" s="41"/>
      <c r="Z39" s="41"/>
      <c r="AA39" s="41"/>
      <c r="AB39" s="41"/>
      <c r="AC39" s="41"/>
      <c r="AD39" s="41"/>
      <c r="AE39" s="41"/>
      <c r="AF39" s="41"/>
      <c r="AG39" s="75">
        <v>527000</v>
      </c>
      <c r="AH39" s="41"/>
      <c r="AI39" s="41"/>
      <c r="AJ39" s="92">
        <f t="shared" si="7"/>
        <v>527000</v>
      </c>
      <c r="AK39" s="4"/>
      <c r="AL39" s="90"/>
    </row>
    <row r="40" spans="2:38" s="7" customFormat="1" ht="21.75" hidden="1" customHeight="1" x14ac:dyDescent="0.3">
      <c r="B40" s="31">
        <v>46132</v>
      </c>
      <c r="C40" s="62" t="s">
        <v>1105</v>
      </c>
      <c r="D40" s="101" t="str">
        <f t="shared" ref="D40:D42" si="10">IFERROR(VLOOKUP(C40,제품목록,3,FALSE),"")</f>
        <v>알루미늄리드지(윙크컴퍼니 Winc Clear Air Plus 1Day)_유광 코팅</v>
      </c>
      <c r="E40" s="106"/>
      <c r="F40" s="57">
        <v>300000</v>
      </c>
      <c r="G40" s="50">
        <v>46142</v>
      </c>
      <c r="H40" s="51" t="s">
        <v>1120</v>
      </c>
      <c r="I40" s="118"/>
      <c r="J40" s="20"/>
      <c r="K40" s="19" t="s">
        <v>1195</v>
      </c>
      <c r="L40" s="99"/>
      <c r="M40" s="13"/>
      <c r="N40" s="60">
        <f t="shared" si="5"/>
        <v>-57000</v>
      </c>
      <c r="O40" s="42">
        <f t="shared" si="6"/>
        <v>357000</v>
      </c>
      <c r="P40" s="13"/>
      <c r="Q40" s="13"/>
      <c r="R40" s="13">
        <v>357000</v>
      </c>
      <c r="S40" s="13"/>
      <c r="T40" s="13"/>
      <c r="U40" s="13"/>
      <c r="V40" s="41"/>
      <c r="W40" s="80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92">
        <f t="shared" si="7"/>
        <v>0</v>
      </c>
      <c r="AK40" s="4"/>
      <c r="AL40" s="90"/>
    </row>
    <row r="41" spans="2:38" s="7" customFormat="1" ht="21.75" hidden="1" customHeight="1" x14ac:dyDescent="0.3">
      <c r="B41" s="31">
        <v>46132</v>
      </c>
      <c r="C41" s="62" t="s">
        <v>1106</v>
      </c>
      <c r="D41" s="101" t="str">
        <f t="shared" si="10"/>
        <v>알루미늄리드지 (공용 Alcon Freshlook)_유광 코팅</v>
      </c>
      <c r="E41" s="69"/>
      <c r="F41" s="57">
        <v>300000</v>
      </c>
      <c r="G41" s="50">
        <v>46146</v>
      </c>
      <c r="H41" s="50" t="s">
        <v>1125</v>
      </c>
      <c r="I41" s="118"/>
      <c r="J41" s="21"/>
      <c r="K41" s="19" t="s">
        <v>1195</v>
      </c>
      <c r="L41" s="103"/>
      <c r="M41" s="6"/>
      <c r="N41" s="60">
        <f t="shared" si="5"/>
        <v>-46000</v>
      </c>
      <c r="O41" s="42">
        <f t="shared" si="6"/>
        <v>346000</v>
      </c>
      <c r="P41" s="13"/>
      <c r="Q41" s="13"/>
      <c r="R41" s="13"/>
      <c r="S41" s="13"/>
      <c r="T41" s="13"/>
      <c r="U41" s="13">
        <v>346000</v>
      </c>
      <c r="V41" s="41"/>
      <c r="W41" s="80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92">
        <f t="shared" si="7"/>
        <v>0</v>
      </c>
      <c r="AK41" s="4"/>
      <c r="AL41" s="90"/>
    </row>
    <row r="42" spans="2:38" s="7" customFormat="1" ht="21.75" hidden="1" customHeight="1" x14ac:dyDescent="0.3">
      <c r="B42" s="31">
        <v>46139</v>
      </c>
      <c r="C42" s="62" t="s">
        <v>20</v>
      </c>
      <c r="D42" s="101" t="str">
        <f t="shared" si="10"/>
        <v>알루미늄리드지 (Monthly_무지) (80mm)</v>
      </c>
      <c r="E42" s="68"/>
      <c r="F42" s="57">
        <v>1000000</v>
      </c>
      <c r="G42" s="50" t="s">
        <v>1113</v>
      </c>
      <c r="H42" s="53"/>
      <c r="I42" s="120"/>
      <c r="J42" s="21"/>
      <c r="K42" s="19" t="s">
        <v>1195</v>
      </c>
      <c r="L42" s="6"/>
      <c r="M42" s="6"/>
      <c r="N42" s="60">
        <f t="shared" si="5"/>
        <v>-28644</v>
      </c>
      <c r="O42" s="42">
        <f t="shared" si="6"/>
        <v>1028644</v>
      </c>
      <c r="P42" s="13"/>
      <c r="Q42" s="13"/>
      <c r="R42" s="13"/>
      <c r="S42" s="13"/>
      <c r="T42" s="13"/>
      <c r="U42" s="13"/>
      <c r="V42" s="41"/>
      <c r="W42" s="80"/>
      <c r="X42" s="41"/>
      <c r="Y42" s="41"/>
      <c r="Z42" s="41"/>
      <c r="AA42" s="41"/>
      <c r="AB42" s="41"/>
      <c r="AC42" s="41"/>
      <c r="AD42" s="41"/>
      <c r="AE42" s="41"/>
      <c r="AF42" s="41"/>
      <c r="AG42" s="75">
        <v>1028644</v>
      </c>
      <c r="AH42" s="41"/>
      <c r="AI42" s="41"/>
      <c r="AJ42" s="92">
        <f t="shared" si="7"/>
        <v>1028644</v>
      </c>
      <c r="AK42" s="4"/>
      <c r="AL42" s="90"/>
    </row>
    <row r="43" spans="2:38" s="7" customFormat="1" ht="21.75" hidden="1" customHeight="1" x14ac:dyDescent="0.3">
      <c r="B43" s="31">
        <v>46139</v>
      </c>
      <c r="C43" s="62" t="s">
        <v>1019</v>
      </c>
      <c r="D43" s="101" t="s">
        <v>1114</v>
      </c>
      <c r="E43" s="69"/>
      <c r="F43" s="57">
        <v>200000</v>
      </c>
      <c r="G43" s="50" t="s">
        <v>1119</v>
      </c>
      <c r="H43" s="112" t="s">
        <v>1192</v>
      </c>
      <c r="I43" s="121"/>
      <c r="J43" s="105"/>
      <c r="K43" s="127" t="s">
        <v>1197</v>
      </c>
      <c r="L43" s="104"/>
      <c r="M43" s="6"/>
      <c r="N43" s="60">
        <f t="shared" si="5"/>
        <v>-12000</v>
      </c>
      <c r="O43" s="42">
        <f t="shared" si="6"/>
        <v>212000</v>
      </c>
      <c r="P43" s="13"/>
      <c r="Q43" s="13"/>
      <c r="R43" s="13"/>
      <c r="S43" s="13"/>
      <c r="T43" s="13"/>
      <c r="U43" s="13"/>
      <c r="V43" s="41"/>
      <c r="W43" s="80"/>
      <c r="X43" s="41">
        <v>212000</v>
      </c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92"/>
      <c r="AK43" s="4"/>
      <c r="AL43" s="90"/>
    </row>
    <row r="44" spans="2:38" s="7" customFormat="1" ht="21.75" hidden="1" customHeight="1" x14ac:dyDescent="0.3">
      <c r="B44" s="31">
        <v>46139</v>
      </c>
      <c r="C44" s="62" t="s">
        <v>1115</v>
      </c>
      <c r="D44" s="101" t="s">
        <v>1117</v>
      </c>
      <c r="E44" s="69"/>
      <c r="F44" s="57">
        <v>200000</v>
      </c>
      <c r="G44" s="50" t="s">
        <v>1119</v>
      </c>
      <c r="H44" s="50" t="s">
        <v>1122</v>
      </c>
      <c r="I44" s="118"/>
      <c r="J44" s="21"/>
      <c r="K44" s="19" t="s">
        <v>1195</v>
      </c>
      <c r="L44" s="99"/>
      <c r="M44" s="6"/>
      <c r="N44" s="60">
        <f t="shared" si="5"/>
        <v>-40000</v>
      </c>
      <c r="O44" s="42">
        <f t="shared" si="6"/>
        <v>240000</v>
      </c>
      <c r="P44" s="13">
        <v>240000</v>
      </c>
      <c r="Q44" s="13"/>
      <c r="R44" s="13"/>
      <c r="S44" s="13"/>
      <c r="T44" s="13"/>
      <c r="U44" s="13"/>
      <c r="V44" s="41"/>
      <c r="W44" s="80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92"/>
      <c r="AK44" s="4"/>
      <c r="AL44" s="90"/>
    </row>
    <row r="45" spans="2:38" s="7" customFormat="1" ht="21.75" hidden="1" customHeight="1" x14ac:dyDescent="0.3">
      <c r="B45" s="31">
        <v>46139</v>
      </c>
      <c r="C45" s="62" t="s">
        <v>1116</v>
      </c>
      <c r="D45" s="101" t="s">
        <v>1118</v>
      </c>
      <c r="E45" s="69"/>
      <c r="F45" s="57">
        <v>200000</v>
      </c>
      <c r="G45" s="50" t="s">
        <v>1120</v>
      </c>
      <c r="H45" s="50" t="s">
        <v>1120</v>
      </c>
      <c r="I45" s="118"/>
      <c r="J45" s="21"/>
      <c r="K45" s="19" t="s">
        <v>1195</v>
      </c>
      <c r="L45" s="6"/>
      <c r="M45" s="6"/>
      <c r="N45" s="60">
        <f t="shared" si="5"/>
        <v>-40000</v>
      </c>
      <c r="O45" s="42">
        <f t="shared" si="6"/>
        <v>240000</v>
      </c>
      <c r="P45" s="13"/>
      <c r="Q45" s="13"/>
      <c r="R45" s="13">
        <v>240000</v>
      </c>
      <c r="S45" s="13"/>
      <c r="T45" s="13"/>
      <c r="U45" s="13"/>
      <c r="V45" s="41"/>
      <c r="W45" s="80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92"/>
      <c r="AK45" s="4"/>
      <c r="AL45" s="90"/>
    </row>
    <row r="46" spans="2:38" s="7" customFormat="1" ht="21.75" hidden="1" customHeight="1" x14ac:dyDescent="0.3">
      <c r="B46" s="31">
        <v>46141</v>
      </c>
      <c r="C46" s="62" t="s">
        <v>1128</v>
      </c>
      <c r="D46" s="101" t="s">
        <v>1130</v>
      </c>
      <c r="E46" s="69"/>
      <c r="F46" s="57">
        <v>300000</v>
      </c>
      <c r="G46" s="50"/>
      <c r="H46" s="50" t="s">
        <v>1132</v>
      </c>
      <c r="I46" s="118"/>
      <c r="J46" s="107"/>
      <c r="K46" s="19" t="s">
        <v>1195</v>
      </c>
      <c r="L46" s="99"/>
      <c r="M46" s="6"/>
      <c r="N46" s="60">
        <f t="shared" si="5"/>
        <v>-36000</v>
      </c>
      <c r="O46" s="42">
        <f t="shared" si="6"/>
        <v>336000</v>
      </c>
      <c r="P46" s="13">
        <v>336000</v>
      </c>
      <c r="Q46" s="13"/>
      <c r="R46" s="13"/>
      <c r="S46" s="13"/>
      <c r="T46" s="13"/>
      <c r="U46" s="13"/>
      <c r="V46" s="41"/>
      <c r="W46" s="80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92"/>
      <c r="AK46" s="4"/>
      <c r="AL46" s="90"/>
    </row>
    <row r="47" spans="2:38" s="7" customFormat="1" ht="21.75" hidden="1" customHeight="1" x14ac:dyDescent="0.3">
      <c r="B47" s="31">
        <v>46141</v>
      </c>
      <c r="C47" s="62" t="s">
        <v>1129</v>
      </c>
      <c r="D47" s="101" t="s">
        <v>1131</v>
      </c>
      <c r="E47" s="69"/>
      <c r="F47" s="57">
        <v>200000</v>
      </c>
      <c r="G47" s="50"/>
      <c r="H47" s="50" t="s">
        <v>1124</v>
      </c>
      <c r="I47" s="118"/>
      <c r="J47" s="111"/>
      <c r="K47" s="19" t="s">
        <v>1195</v>
      </c>
      <c r="L47" s="99"/>
      <c r="M47" s="6"/>
      <c r="N47" s="60">
        <f t="shared" si="5"/>
        <v>-41000</v>
      </c>
      <c r="O47" s="42">
        <f t="shared" si="6"/>
        <v>241000</v>
      </c>
      <c r="P47" s="13"/>
      <c r="Q47" s="13"/>
      <c r="R47" s="13"/>
      <c r="S47" s="13"/>
      <c r="T47" s="13">
        <v>241000</v>
      </c>
      <c r="U47" s="13"/>
      <c r="V47" s="41"/>
      <c r="W47" s="80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92"/>
      <c r="AK47" s="4"/>
      <c r="AL47" s="90"/>
    </row>
    <row r="48" spans="2:38" s="7" customFormat="1" ht="21.75" hidden="1" customHeight="1" x14ac:dyDescent="0.3">
      <c r="B48" s="31">
        <v>46142</v>
      </c>
      <c r="C48" s="62" t="s">
        <v>1135</v>
      </c>
      <c r="D48" s="101" t="s">
        <v>1136</v>
      </c>
      <c r="E48" s="69"/>
      <c r="F48" s="57">
        <v>2000000</v>
      </c>
      <c r="G48" s="50" t="s">
        <v>1141</v>
      </c>
      <c r="H48" s="50" t="s">
        <v>1134</v>
      </c>
      <c r="I48" s="118"/>
      <c r="J48" s="111"/>
      <c r="K48" s="19" t="s">
        <v>1195</v>
      </c>
      <c r="L48" s="99"/>
      <c r="M48" s="6"/>
      <c r="N48" s="60">
        <f t="shared" si="5"/>
        <v>592772</v>
      </c>
      <c r="O48" s="42">
        <f t="shared" si="6"/>
        <v>1407228</v>
      </c>
      <c r="P48" s="13"/>
      <c r="Q48" s="13"/>
      <c r="R48" s="13"/>
      <c r="S48" s="41">
        <v>1407228</v>
      </c>
      <c r="T48" s="13"/>
      <c r="U48" s="13"/>
      <c r="V48" s="41"/>
      <c r="W48" s="80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92"/>
      <c r="AK48" s="4"/>
      <c r="AL48" s="90"/>
    </row>
    <row r="49" spans="2:39" s="7" customFormat="1" ht="21.75" hidden="1" customHeight="1" x14ac:dyDescent="0.3">
      <c r="B49" s="31">
        <v>46142</v>
      </c>
      <c r="C49" s="62" t="s">
        <v>1137</v>
      </c>
      <c r="D49" s="101" t="s">
        <v>1138</v>
      </c>
      <c r="E49" s="69"/>
      <c r="F49" s="57">
        <v>500000</v>
      </c>
      <c r="G49" s="50" t="s">
        <v>1142</v>
      </c>
      <c r="H49" s="112" t="s">
        <v>1192</v>
      </c>
      <c r="I49" s="123" t="s">
        <v>1199</v>
      </c>
      <c r="J49" s="21"/>
      <c r="K49" s="111" t="s">
        <v>1238</v>
      </c>
      <c r="L49" s="104"/>
      <c r="M49" s="6"/>
      <c r="N49" s="60">
        <f t="shared" ref="N49:N87" si="11">F49-O49</f>
        <v>-28000</v>
      </c>
      <c r="O49" s="42">
        <f t="shared" ref="O49:O56" si="12">SUM(P49:AI49)</f>
        <v>528000</v>
      </c>
      <c r="P49" s="13"/>
      <c r="Q49" s="13"/>
      <c r="R49" s="13"/>
      <c r="S49" s="13"/>
      <c r="T49" s="13"/>
      <c r="U49" s="13"/>
      <c r="V49" s="41"/>
      <c r="W49" s="80"/>
      <c r="X49" s="41"/>
      <c r="Y49" s="41"/>
      <c r="Z49" s="41"/>
      <c r="AA49" s="41">
        <v>528000</v>
      </c>
      <c r="AB49" s="41"/>
      <c r="AC49" s="41"/>
      <c r="AD49" s="41"/>
      <c r="AE49" s="41"/>
      <c r="AF49" s="41"/>
      <c r="AG49" s="41"/>
      <c r="AH49" s="41"/>
      <c r="AI49" s="41"/>
      <c r="AJ49" s="92"/>
      <c r="AK49" s="4"/>
      <c r="AL49" s="90"/>
    </row>
    <row r="50" spans="2:39" s="7" customFormat="1" ht="21.75" hidden="1" customHeight="1" x14ac:dyDescent="0.3">
      <c r="B50" s="31">
        <v>46142</v>
      </c>
      <c r="C50" s="62" t="s">
        <v>1139</v>
      </c>
      <c r="D50" s="101" t="s">
        <v>1140</v>
      </c>
      <c r="E50" s="69"/>
      <c r="F50" s="57">
        <v>300000</v>
      </c>
      <c r="G50" s="50" t="s">
        <v>1143</v>
      </c>
      <c r="H50" s="112" t="s">
        <v>1192</v>
      </c>
      <c r="I50" s="123" t="s">
        <v>1237</v>
      </c>
      <c r="J50" s="111"/>
      <c r="K50" s="111" t="s">
        <v>1195</v>
      </c>
      <c r="L50" s="104"/>
      <c r="M50" s="6"/>
      <c r="N50" s="60">
        <f t="shared" si="11"/>
        <v>-36000</v>
      </c>
      <c r="O50" s="42">
        <f t="shared" si="12"/>
        <v>336000</v>
      </c>
      <c r="P50" s="13"/>
      <c r="Q50" s="13"/>
      <c r="R50" s="13"/>
      <c r="S50" s="13"/>
      <c r="T50" s="13"/>
      <c r="U50" s="13"/>
      <c r="V50" s="41"/>
      <c r="W50" s="80"/>
      <c r="X50" s="41"/>
      <c r="Y50" s="41"/>
      <c r="Z50" s="41"/>
      <c r="AA50" s="41"/>
      <c r="AB50" s="41">
        <v>336000</v>
      </c>
      <c r="AC50" s="41"/>
      <c r="AD50" s="41"/>
      <c r="AE50" s="41"/>
      <c r="AF50" s="41"/>
      <c r="AG50" s="41"/>
      <c r="AH50" s="41"/>
      <c r="AI50" s="41"/>
      <c r="AJ50" s="92"/>
      <c r="AK50" s="4"/>
      <c r="AL50" s="90"/>
    </row>
    <row r="51" spans="2:39" s="7" customFormat="1" ht="21.75" hidden="1" customHeight="1" x14ac:dyDescent="0.3">
      <c r="B51" s="31">
        <v>46142</v>
      </c>
      <c r="C51" s="62" t="s">
        <v>1144</v>
      </c>
      <c r="D51" s="101" t="s">
        <v>1145</v>
      </c>
      <c r="E51" s="69"/>
      <c r="F51" s="57">
        <v>300000</v>
      </c>
      <c r="G51" s="50" t="s">
        <v>1146</v>
      </c>
      <c r="H51" s="112" t="s">
        <v>1183</v>
      </c>
      <c r="I51" s="123" t="s">
        <v>1200</v>
      </c>
      <c r="J51" s="21"/>
      <c r="K51" s="111" t="s">
        <v>1238</v>
      </c>
      <c r="L51" s="104"/>
      <c r="M51" s="6"/>
      <c r="N51" s="60">
        <f t="shared" si="11"/>
        <v>-36000</v>
      </c>
      <c r="O51" s="42">
        <f t="shared" si="12"/>
        <v>336000</v>
      </c>
      <c r="P51" s="13"/>
      <c r="Q51" s="13"/>
      <c r="R51" s="13"/>
      <c r="S51" s="13"/>
      <c r="T51" s="13"/>
      <c r="U51" s="13"/>
      <c r="V51" s="41"/>
      <c r="W51" s="80"/>
      <c r="X51" s="41"/>
      <c r="Y51" s="41"/>
      <c r="Z51" s="41"/>
      <c r="AA51" s="41">
        <v>336000</v>
      </c>
      <c r="AB51" s="41"/>
      <c r="AC51" s="41"/>
      <c r="AD51" s="41"/>
      <c r="AE51" s="41"/>
      <c r="AF51" s="41"/>
      <c r="AG51" s="41"/>
      <c r="AH51" s="41"/>
      <c r="AI51" s="41"/>
      <c r="AJ51" s="92"/>
      <c r="AK51" s="4"/>
      <c r="AL51" s="90"/>
    </row>
    <row r="52" spans="2:39" s="7" customFormat="1" ht="21.75" hidden="1" customHeight="1" x14ac:dyDescent="0.3">
      <c r="B52" s="31">
        <v>46142</v>
      </c>
      <c r="C52" s="62" t="s">
        <v>1147</v>
      </c>
      <c r="D52" s="101" t="s">
        <v>1148</v>
      </c>
      <c r="E52" s="69"/>
      <c r="F52" s="57">
        <v>200000</v>
      </c>
      <c r="G52" s="50" t="s">
        <v>1146</v>
      </c>
      <c r="H52" s="50" t="s">
        <v>1192</v>
      </c>
      <c r="I52" s="118" t="s">
        <v>1199</v>
      </c>
      <c r="J52" s="21"/>
      <c r="K52" s="111" t="s">
        <v>1238</v>
      </c>
      <c r="L52" s="6"/>
      <c r="M52" s="6"/>
      <c r="N52" s="60">
        <f t="shared" si="11"/>
        <v>-40000</v>
      </c>
      <c r="O52" s="42">
        <f t="shared" si="12"/>
        <v>240000</v>
      </c>
      <c r="P52" s="13"/>
      <c r="Q52" s="13"/>
      <c r="R52" s="13"/>
      <c r="S52" s="13"/>
      <c r="T52" s="13"/>
      <c r="U52" s="13"/>
      <c r="V52" s="41"/>
      <c r="W52" s="80"/>
      <c r="X52" s="41"/>
      <c r="Y52" s="41"/>
      <c r="Z52" s="41"/>
      <c r="AA52" s="41">
        <v>240000</v>
      </c>
      <c r="AB52" s="41"/>
      <c r="AC52" s="41"/>
      <c r="AD52" s="41"/>
      <c r="AE52" s="41"/>
      <c r="AF52" s="41"/>
      <c r="AG52" s="41"/>
      <c r="AH52" s="41"/>
      <c r="AI52" s="41"/>
      <c r="AJ52" s="92"/>
      <c r="AK52" s="4"/>
      <c r="AL52" s="90"/>
    </row>
    <row r="53" spans="2:39" s="7" customFormat="1" ht="21" hidden="1" customHeight="1" x14ac:dyDescent="0.3">
      <c r="B53" s="31">
        <v>46142</v>
      </c>
      <c r="C53" s="62" t="s">
        <v>1149</v>
      </c>
      <c r="D53" s="101" t="s">
        <v>1150</v>
      </c>
      <c r="E53" s="69"/>
      <c r="F53" s="57">
        <v>500000</v>
      </c>
      <c r="G53" s="50" t="s">
        <v>1151</v>
      </c>
      <c r="H53" s="112" t="s">
        <v>1125</v>
      </c>
      <c r="I53" s="123"/>
      <c r="J53" s="21"/>
      <c r="K53" s="19" t="s">
        <v>1195</v>
      </c>
      <c r="L53" s="6"/>
      <c r="M53" s="6"/>
      <c r="N53" s="60">
        <f t="shared" si="11"/>
        <v>-60000</v>
      </c>
      <c r="O53" s="42">
        <f t="shared" si="12"/>
        <v>560000</v>
      </c>
      <c r="P53" s="13"/>
      <c r="Q53" s="13"/>
      <c r="R53" s="13"/>
      <c r="S53" s="13"/>
      <c r="T53" s="13"/>
      <c r="U53" s="13">
        <v>560000</v>
      </c>
      <c r="V53" s="41"/>
      <c r="W53" s="80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92"/>
      <c r="AK53" s="4"/>
      <c r="AL53" s="90"/>
    </row>
    <row r="54" spans="2:39" s="7" customFormat="1" ht="21" hidden="1" customHeight="1" x14ac:dyDescent="0.3">
      <c r="B54" s="31">
        <v>46142</v>
      </c>
      <c r="C54" s="62" t="s">
        <v>1155</v>
      </c>
      <c r="D54" s="101" t="s">
        <v>1156</v>
      </c>
      <c r="E54" s="69"/>
      <c r="F54" s="57">
        <v>200000</v>
      </c>
      <c r="G54" s="50" t="s">
        <v>1154</v>
      </c>
      <c r="H54" s="50" t="s">
        <v>1161</v>
      </c>
      <c r="I54" s="122"/>
      <c r="J54" s="113"/>
      <c r="K54" s="19" t="s">
        <v>1195</v>
      </c>
      <c r="L54" s="6"/>
      <c r="M54" s="6"/>
      <c r="N54" s="60">
        <f t="shared" si="11"/>
        <v>-38000</v>
      </c>
      <c r="O54" s="42">
        <f t="shared" si="12"/>
        <v>238000</v>
      </c>
      <c r="P54" s="13"/>
      <c r="Q54" s="13"/>
      <c r="R54" s="13"/>
      <c r="S54" s="13"/>
      <c r="T54" s="13"/>
      <c r="U54" s="13"/>
      <c r="V54" s="41"/>
      <c r="W54" s="80">
        <v>238000</v>
      </c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92"/>
      <c r="AK54" s="4"/>
      <c r="AL54" s="90"/>
    </row>
    <row r="55" spans="2:39" s="7" customFormat="1" ht="21" hidden="1" customHeight="1" x14ac:dyDescent="0.3">
      <c r="B55" s="31">
        <v>46142</v>
      </c>
      <c r="C55" s="62" t="s">
        <v>1157</v>
      </c>
      <c r="D55" s="101" t="s">
        <v>1158</v>
      </c>
      <c r="E55" s="69"/>
      <c r="F55" s="57">
        <v>200000</v>
      </c>
      <c r="G55" s="50" t="s">
        <v>1159</v>
      </c>
      <c r="H55" s="50" t="s">
        <v>1162</v>
      </c>
      <c r="I55" s="118"/>
      <c r="J55" s="93"/>
      <c r="K55" s="19" t="s">
        <v>1195</v>
      </c>
      <c r="L55" s="6"/>
      <c r="M55" s="6"/>
      <c r="N55" s="60">
        <f t="shared" si="11"/>
        <v>-78000</v>
      </c>
      <c r="O55" s="42">
        <f t="shared" si="12"/>
        <v>278000</v>
      </c>
      <c r="P55" s="13"/>
      <c r="Q55" s="13"/>
      <c r="R55" s="13"/>
      <c r="S55" s="13"/>
      <c r="T55" s="13"/>
      <c r="U55" s="13"/>
      <c r="V55" s="41">
        <v>278000</v>
      </c>
      <c r="W55" s="80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92"/>
      <c r="AK55" s="4"/>
      <c r="AL55" s="90"/>
    </row>
    <row r="56" spans="2:39" s="7" customFormat="1" ht="21" hidden="1" customHeight="1" x14ac:dyDescent="0.3">
      <c r="B56" s="31">
        <v>46150</v>
      </c>
      <c r="C56" s="108" t="s">
        <v>1164</v>
      </c>
      <c r="D56" s="101" t="s">
        <v>1165</v>
      </c>
      <c r="E56" s="101"/>
      <c r="F56" s="109">
        <v>2000000</v>
      </c>
      <c r="G56" s="110" t="s">
        <v>1167</v>
      </c>
      <c r="H56" s="110"/>
      <c r="I56" s="117"/>
      <c r="J56" s="21"/>
      <c r="K56" s="19" t="s">
        <v>1195</v>
      </c>
      <c r="L56" s="6"/>
      <c r="M56" s="6"/>
      <c r="N56" s="60">
        <f t="shared" si="11"/>
        <v>0</v>
      </c>
      <c r="O56" s="42">
        <f t="shared" si="12"/>
        <v>2000000</v>
      </c>
      <c r="P56" s="13"/>
      <c r="Q56" s="13"/>
      <c r="R56" s="13"/>
      <c r="S56" s="41">
        <v>2000000</v>
      </c>
      <c r="T56" s="13"/>
      <c r="U56" s="13"/>
      <c r="V56" s="41"/>
      <c r="W56" s="80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92"/>
      <c r="AK56" s="4"/>
      <c r="AL56" s="90"/>
    </row>
    <row r="57" spans="2:39" s="7" customFormat="1" ht="21" hidden="1" customHeight="1" x14ac:dyDescent="0.3">
      <c r="B57" s="31" t="s">
        <v>1182</v>
      </c>
      <c r="C57" s="108" t="s">
        <v>22</v>
      </c>
      <c r="D57" s="101" t="s">
        <v>1165</v>
      </c>
      <c r="E57" s="101"/>
      <c r="F57" s="109">
        <v>2000000</v>
      </c>
      <c r="G57" s="110" t="s">
        <v>1183</v>
      </c>
      <c r="H57" s="110" t="s">
        <v>1191</v>
      </c>
      <c r="I57" s="117" t="s">
        <v>1199</v>
      </c>
      <c r="J57" s="111"/>
      <c r="K57" s="19" t="s">
        <v>1195</v>
      </c>
      <c r="L57" s="6"/>
      <c r="M57" s="6"/>
      <c r="N57" s="60">
        <f t="shared" si="11"/>
        <v>-35000</v>
      </c>
      <c r="O57" s="42">
        <f t="shared" ref="O57:O87" si="13">SUM(P57:AI57)</f>
        <v>2035000</v>
      </c>
      <c r="P57" s="13"/>
      <c r="Q57" s="13"/>
      <c r="R57" s="13"/>
      <c r="S57" s="41"/>
      <c r="T57" s="13"/>
      <c r="U57" s="13"/>
      <c r="V57" s="41"/>
      <c r="W57" s="80"/>
      <c r="X57" s="41"/>
      <c r="Y57" s="41"/>
      <c r="Z57" s="41"/>
      <c r="AA57" s="41">
        <v>2035000</v>
      </c>
      <c r="AB57" s="41"/>
      <c r="AC57" s="41"/>
      <c r="AD57" s="41"/>
      <c r="AE57" s="41"/>
      <c r="AF57" s="41"/>
      <c r="AG57" s="41"/>
      <c r="AH57" s="41"/>
      <c r="AI57" s="41"/>
      <c r="AJ57" s="92"/>
      <c r="AK57" s="4"/>
      <c r="AL57" s="90"/>
    </row>
    <row r="58" spans="2:39" s="7" customFormat="1" ht="21" hidden="1" customHeight="1" x14ac:dyDescent="0.3">
      <c r="B58" s="31">
        <v>46150</v>
      </c>
      <c r="C58" s="62" t="s">
        <v>1169</v>
      </c>
      <c r="D58" s="101" t="s">
        <v>1174</v>
      </c>
      <c r="E58" s="69"/>
      <c r="F58" s="57">
        <v>200000</v>
      </c>
      <c r="G58" s="50" t="s">
        <v>1178</v>
      </c>
      <c r="H58" s="50" t="s">
        <v>1141</v>
      </c>
      <c r="I58" s="118" t="s">
        <v>1202</v>
      </c>
      <c r="J58" s="151">
        <v>0.19230769230769232</v>
      </c>
      <c r="K58" s="19" t="s">
        <v>1195</v>
      </c>
      <c r="L58" s="6"/>
      <c r="M58" s="6"/>
      <c r="N58" s="60">
        <f t="shared" si="11"/>
        <v>-51000</v>
      </c>
      <c r="O58" s="42">
        <f t="shared" si="13"/>
        <v>251000</v>
      </c>
      <c r="P58" s="13"/>
      <c r="Q58" s="13"/>
      <c r="R58" s="13"/>
      <c r="S58" s="13"/>
      <c r="T58" s="13"/>
      <c r="U58" s="13"/>
      <c r="V58" s="41"/>
      <c r="W58" s="80"/>
      <c r="X58" s="41"/>
      <c r="Y58" s="41"/>
      <c r="Z58" s="41"/>
      <c r="AA58" s="41"/>
      <c r="AB58" s="41">
        <v>251000</v>
      </c>
      <c r="AC58" s="41"/>
      <c r="AD58" s="41"/>
      <c r="AE58" s="41"/>
      <c r="AF58" s="41"/>
      <c r="AG58" s="41"/>
      <c r="AH58" s="41"/>
      <c r="AI58" s="41"/>
      <c r="AJ58" s="92"/>
      <c r="AK58" s="4"/>
      <c r="AL58" s="90"/>
    </row>
    <row r="59" spans="2:39" s="7" customFormat="1" ht="21" hidden="1" customHeight="1" x14ac:dyDescent="0.3">
      <c r="B59" s="31">
        <v>46150</v>
      </c>
      <c r="C59" s="62" t="s">
        <v>1170</v>
      </c>
      <c r="D59" s="101" t="s">
        <v>1175</v>
      </c>
      <c r="E59" s="69"/>
      <c r="F59" s="57">
        <v>200000</v>
      </c>
      <c r="G59" s="50" t="s">
        <v>1166</v>
      </c>
      <c r="H59" s="50" t="s">
        <v>1179</v>
      </c>
      <c r="I59" s="118"/>
      <c r="J59" s="19"/>
      <c r="K59" s="19" t="s">
        <v>1195</v>
      </c>
      <c r="L59" s="16"/>
      <c r="M59" s="6"/>
      <c r="N59" s="60">
        <f t="shared" si="11"/>
        <v>-60000</v>
      </c>
      <c r="O59" s="42">
        <f t="shared" si="13"/>
        <v>260000</v>
      </c>
      <c r="P59" s="13"/>
      <c r="Q59" s="13"/>
      <c r="R59" s="13"/>
      <c r="S59" s="13"/>
      <c r="T59" s="13"/>
      <c r="U59" s="13"/>
      <c r="V59" s="41">
        <v>260000</v>
      </c>
      <c r="W59" s="80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92"/>
      <c r="AK59" s="4"/>
      <c r="AL59" s="90"/>
    </row>
    <row r="60" spans="2:39" s="7" customFormat="1" ht="21" hidden="1" customHeight="1" x14ac:dyDescent="0.3">
      <c r="B60" s="31">
        <v>46150</v>
      </c>
      <c r="C60" s="62" t="s">
        <v>1171</v>
      </c>
      <c r="D60" s="101" t="s">
        <v>1176</v>
      </c>
      <c r="E60" s="69"/>
      <c r="F60" s="57">
        <v>200000</v>
      </c>
      <c r="G60" s="50" t="s">
        <v>1166</v>
      </c>
      <c r="H60" s="50" t="s">
        <v>1179</v>
      </c>
      <c r="I60" s="122"/>
      <c r="J60" s="114"/>
      <c r="K60" s="19" t="s">
        <v>1195</v>
      </c>
      <c r="L60" s="16"/>
      <c r="M60" s="6"/>
      <c r="N60" s="60">
        <f t="shared" si="11"/>
        <v>-40000</v>
      </c>
      <c r="O60" s="42">
        <f t="shared" si="13"/>
        <v>240000</v>
      </c>
      <c r="P60" s="13"/>
      <c r="Q60" s="13"/>
      <c r="R60" s="13"/>
      <c r="S60" s="13"/>
      <c r="T60" s="13"/>
      <c r="U60" s="13"/>
      <c r="V60" s="41"/>
      <c r="W60" s="80">
        <v>240000</v>
      </c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92"/>
      <c r="AK60" s="4"/>
      <c r="AL60" s="90"/>
    </row>
    <row r="61" spans="2:39" s="7" customFormat="1" ht="21" hidden="1" customHeight="1" x14ac:dyDescent="0.3">
      <c r="B61" s="31">
        <v>46150</v>
      </c>
      <c r="C61" s="62" t="s">
        <v>1172</v>
      </c>
      <c r="D61" s="101" t="s">
        <v>1177</v>
      </c>
      <c r="E61" s="69"/>
      <c r="F61" s="57">
        <v>200000</v>
      </c>
      <c r="G61" s="50" t="s">
        <v>1166</v>
      </c>
      <c r="H61" s="50" t="s">
        <v>1179</v>
      </c>
      <c r="I61" s="118"/>
      <c r="J61" s="19"/>
      <c r="K61" s="19" t="s">
        <v>1195</v>
      </c>
      <c r="L61" s="16"/>
      <c r="M61" s="6"/>
      <c r="N61" s="60">
        <f t="shared" si="11"/>
        <v>-40000</v>
      </c>
      <c r="O61" s="42">
        <f t="shared" si="13"/>
        <v>240000</v>
      </c>
      <c r="P61" s="13"/>
      <c r="Q61" s="13"/>
      <c r="R61" s="13"/>
      <c r="S61" s="13"/>
      <c r="T61" s="13"/>
      <c r="U61" s="13"/>
      <c r="V61" s="41">
        <v>240000</v>
      </c>
      <c r="W61" s="80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92"/>
      <c r="AK61" s="4"/>
      <c r="AL61" s="90"/>
    </row>
    <row r="62" spans="2:39" s="4" customFormat="1" ht="21" customHeight="1" x14ac:dyDescent="0.3">
      <c r="B62" s="85">
        <v>46127</v>
      </c>
      <c r="C62" s="61" t="s">
        <v>9</v>
      </c>
      <c r="D62" s="100" t="str">
        <f t="shared" ref="D62" si="14">IFERROR(VLOOKUP(C62,제품목록,3,FALSE),"")</f>
        <v>알루미늄리드지 (국내/중국 원데이_아이리스)_무광 코팅</v>
      </c>
      <c r="E62" s="88"/>
      <c r="F62" s="56">
        <v>1375000</v>
      </c>
      <c r="G62" s="48">
        <v>46139</v>
      </c>
      <c r="H62" s="49"/>
      <c r="I62" s="116"/>
      <c r="J62" s="32"/>
      <c r="K62" s="32"/>
      <c r="L62" s="16"/>
      <c r="M62" s="13">
        <f>IFERROR(_xlfn.XLOOKUP(C62,[1]III.재고현황!O:O,[1]III.재고현황!R:R),)</f>
        <v>0</v>
      </c>
      <c r="N62" s="60">
        <f>F62-O62</f>
        <v>-801000</v>
      </c>
      <c r="O62" s="42">
        <f t="shared" ref="O62:O69" si="15">SUM(P62:AI62)</f>
        <v>2176000</v>
      </c>
      <c r="P62" s="13">
        <v>682000</v>
      </c>
      <c r="Q62" s="13"/>
      <c r="R62" s="13"/>
      <c r="S62" s="13"/>
      <c r="T62" s="13"/>
      <c r="U62" s="13"/>
      <c r="V62" s="41">
        <v>976000</v>
      </c>
      <c r="W62" s="80">
        <v>518000</v>
      </c>
      <c r="X62" s="41"/>
      <c r="Y62" s="41"/>
      <c r="Z62" s="41"/>
      <c r="AA62" s="41"/>
      <c r="AB62" s="41"/>
      <c r="AC62" s="41"/>
      <c r="AD62" s="41"/>
      <c r="AE62" s="41"/>
      <c r="AF62" s="98"/>
      <c r="AG62" s="98"/>
      <c r="AH62" s="32"/>
      <c r="AI62" s="75"/>
      <c r="AJ62" s="92">
        <f>SUM(X62:AI62)</f>
        <v>0</v>
      </c>
      <c r="AL62" s="90"/>
      <c r="AM62" s="91"/>
    </row>
    <row r="63" spans="2:39" s="4" customFormat="1" ht="21" customHeight="1" x14ac:dyDescent="0.3">
      <c r="B63" s="85">
        <v>46156</v>
      </c>
      <c r="C63" s="61" t="s">
        <v>9</v>
      </c>
      <c r="D63" s="100" t="str">
        <f t="shared" ref="D63:D64" si="16">IFERROR(VLOOKUP(C63,제품목록,3,FALSE),"")</f>
        <v>알루미늄리드지 (국내/중국 원데이_아이리스)_무광 코팅</v>
      </c>
      <c r="E63" s="88"/>
      <c r="F63" s="56">
        <v>2000000</v>
      </c>
      <c r="G63" s="48" t="s">
        <v>1181</v>
      </c>
      <c r="H63" s="49"/>
      <c r="I63" s="116"/>
      <c r="J63" s="32"/>
      <c r="K63" s="32"/>
      <c r="L63" s="16"/>
      <c r="M63" s="13"/>
      <c r="N63" s="60">
        <v>2000000</v>
      </c>
      <c r="O63" s="42">
        <f t="shared" si="15"/>
        <v>0</v>
      </c>
      <c r="P63" s="13"/>
      <c r="Q63" s="13"/>
      <c r="R63" s="13"/>
      <c r="S63" s="13"/>
      <c r="T63" s="13"/>
      <c r="U63" s="13"/>
      <c r="V63" s="41"/>
      <c r="W63" s="80"/>
      <c r="X63" s="41"/>
      <c r="Y63" s="41"/>
      <c r="Z63" s="41"/>
      <c r="AA63" s="41"/>
      <c r="AB63" s="41"/>
      <c r="AC63" s="41"/>
      <c r="AD63" s="41"/>
      <c r="AE63" s="41"/>
      <c r="AF63" s="98"/>
      <c r="AG63" s="98"/>
      <c r="AH63" s="32"/>
      <c r="AI63" s="75"/>
      <c r="AJ63" s="92"/>
      <c r="AL63" s="90"/>
      <c r="AM63" s="91"/>
    </row>
    <row r="64" spans="2:39" s="4" customFormat="1" ht="21" customHeight="1" x14ac:dyDescent="0.3">
      <c r="B64" s="85">
        <v>46168</v>
      </c>
      <c r="C64" s="61" t="s">
        <v>1240</v>
      </c>
      <c r="D64" s="100" t="str">
        <f t="shared" si="16"/>
        <v>알루미늄리드지 (국내/중국 원데이_아이리스)_무광 코팅</v>
      </c>
      <c r="E64" s="88"/>
      <c r="F64" s="56">
        <v>2000000</v>
      </c>
      <c r="G64" s="48" t="s">
        <v>1241</v>
      </c>
      <c r="H64" s="49"/>
      <c r="I64" s="116"/>
      <c r="J64" s="32"/>
      <c r="K64" s="32"/>
      <c r="L64" s="16"/>
      <c r="M64" s="13"/>
      <c r="N64" s="60">
        <v>2000000</v>
      </c>
      <c r="O64" s="42">
        <f t="shared" si="15"/>
        <v>0</v>
      </c>
      <c r="P64" s="13"/>
      <c r="Q64" s="13"/>
      <c r="R64" s="13"/>
      <c r="S64" s="13"/>
      <c r="T64" s="13"/>
      <c r="U64" s="13"/>
      <c r="V64" s="41"/>
      <c r="W64" s="80"/>
      <c r="X64" s="41"/>
      <c r="Y64" s="41"/>
      <c r="Z64" s="41"/>
      <c r="AA64" s="41"/>
      <c r="AB64" s="41"/>
      <c r="AC64" s="41"/>
      <c r="AD64" s="41"/>
      <c r="AE64" s="41"/>
      <c r="AF64" s="98"/>
      <c r="AG64" s="98"/>
      <c r="AH64" s="32"/>
      <c r="AI64" s="75"/>
      <c r="AJ64" s="92"/>
      <c r="AL64" s="90"/>
      <c r="AM64" s="91"/>
    </row>
    <row r="65" spans="2:38" s="7" customFormat="1" ht="21.75" customHeight="1" x14ac:dyDescent="0.3">
      <c r="B65" s="85">
        <v>46168</v>
      </c>
      <c r="C65" s="61" t="s">
        <v>1242</v>
      </c>
      <c r="D65" s="100" t="str">
        <f>IFERROR(VLOOKUP(C65,제품목록,3,FALSE),"")</f>
        <v>알루미늄리드지 (일본 PIA 1day 55%)_유광 코팅</v>
      </c>
      <c r="E65" s="88"/>
      <c r="F65" s="56">
        <v>2000000</v>
      </c>
      <c r="G65" s="48" t="s">
        <v>1241</v>
      </c>
      <c r="H65" s="147"/>
      <c r="I65" s="124"/>
      <c r="J65" s="98"/>
      <c r="K65" s="126"/>
      <c r="L65" s="6"/>
      <c r="M65" s="13"/>
      <c r="N65" s="60">
        <f>F65-O65</f>
        <v>999000</v>
      </c>
      <c r="O65" s="42">
        <f t="shared" si="15"/>
        <v>1001000</v>
      </c>
      <c r="P65" s="13"/>
      <c r="Q65" s="13"/>
      <c r="R65" s="41"/>
      <c r="S65" s="13"/>
      <c r="T65" s="13"/>
      <c r="U65" s="13"/>
      <c r="V65" s="41"/>
      <c r="W65" s="80"/>
      <c r="X65" s="41"/>
      <c r="Y65" s="41"/>
      <c r="Z65" s="41"/>
      <c r="AA65" s="41"/>
      <c r="AB65" s="41"/>
      <c r="AC65" s="41">
        <v>1001000</v>
      </c>
      <c r="AD65" s="41"/>
      <c r="AE65" s="75"/>
      <c r="AF65" s="32"/>
      <c r="AG65" s="32"/>
      <c r="AH65" s="32"/>
      <c r="AI65" s="41"/>
      <c r="AJ65" s="92"/>
      <c r="AK65" s="4"/>
      <c r="AL65" s="90"/>
    </row>
    <row r="66" spans="2:38" s="7" customFormat="1" ht="21.75" customHeight="1" x14ac:dyDescent="0.3">
      <c r="B66" s="85">
        <v>46169</v>
      </c>
      <c r="C66" s="61" t="s">
        <v>1242</v>
      </c>
      <c r="D66" s="100" t="str">
        <f>IFERROR(VLOOKUP(C66,제품목록,3,FALSE),"")</f>
        <v>알루미늄리드지 (일본 PIA 1day 55%)_유광 코팅</v>
      </c>
      <c r="E66" s="88"/>
      <c r="F66" s="56">
        <v>2000000</v>
      </c>
      <c r="G66" s="48" t="s">
        <v>1263</v>
      </c>
      <c r="H66" s="147"/>
      <c r="I66" s="124"/>
      <c r="J66" s="98"/>
      <c r="K66" s="126"/>
      <c r="L66" s="6"/>
      <c r="M66" s="13"/>
      <c r="N66" s="60">
        <f>F66-O66</f>
        <v>2000000</v>
      </c>
      <c r="O66" s="42">
        <f t="shared" si="15"/>
        <v>0</v>
      </c>
      <c r="P66" s="13"/>
      <c r="Q66" s="13"/>
      <c r="R66" s="41"/>
      <c r="S66" s="13"/>
      <c r="T66" s="13"/>
      <c r="U66" s="13"/>
      <c r="V66" s="41"/>
      <c r="W66" s="80"/>
      <c r="X66" s="41"/>
      <c r="Y66" s="41"/>
      <c r="Z66" s="41"/>
      <c r="AA66" s="41"/>
      <c r="AB66" s="41"/>
      <c r="AC66" s="41"/>
      <c r="AD66" s="41"/>
      <c r="AE66" s="75"/>
      <c r="AF66" s="32"/>
      <c r="AG66" s="32"/>
      <c r="AH66" s="32"/>
      <c r="AI66" s="41"/>
      <c r="AJ66" s="92"/>
      <c r="AK66" s="4"/>
      <c r="AL66" s="90"/>
    </row>
    <row r="67" spans="2:38" s="7" customFormat="1" ht="21.75" customHeight="1" x14ac:dyDescent="0.3">
      <c r="B67" s="31" t="s">
        <v>1182</v>
      </c>
      <c r="C67" s="61" t="s">
        <v>20</v>
      </c>
      <c r="D67" s="100" t="s">
        <v>1136</v>
      </c>
      <c r="E67" s="69"/>
      <c r="F67" s="115">
        <v>6000000</v>
      </c>
      <c r="G67" s="50"/>
      <c r="H67" s="48" t="s">
        <v>1181</v>
      </c>
      <c r="I67" s="128" t="s">
        <v>1199</v>
      </c>
      <c r="J67" s="111" t="s">
        <v>1204</v>
      </c>
      <c r="K67" s="111"/>
      <c r="L67" s="99"/>
      <c r="M67" s="6"/>
      <c r="N67" s="60">
        <f>F67-O67</f>
        <v>3881828</v>
      </c>
      <c r="O67" s="42">
        <f t="shared" si="15"/>
        <v>2118172</v>
      </c>
      <c r="P67" s="13"/>
      <c r="Q67" s="13"/>
      <c r="R67" s="13"/>
      <c r="S67" s="41"/>
      <c r="T67" s="13"/>
      <c r="U67" s="13"/>
      <c r="V67" s="41"/>
      <c r="W67" s="80"/>
      <c r="X67" s="41"/>
      <c r="Y67" s="41"/>
      <c r="Z67" s="41"/>
      <c r="AA67" s="41">
        <v>2118172</v>
      </c>
      <c r="AB67" s="41"/>
      <c r="AC67" s="41"/>
      <c r="AD67" s="41"/>
      <c r="AE67" s="41"/>
      <c r="AF67" s="41"/>
      <c r="AG67" s="41"/>
      <c r="AH67" s="41"/>
      <c r="AI67" s="41"/>
      <c r="AJ67" s="92"/>
      <c r="AK67" s="4"/>
      <c r="AL67" s="90"/>
    </row>
    <row r="68" spans="2:38" s="7" customFormat="1" ht="21" customHeight="1" x14ac:dyDescent="0.3">
      <c r="B68" s="31">
        <v>46142</v>
      </c>
      <c r="C68" s="61" t="s">
        <v>1152</v>
      </c>
      <c r="D68" s="100" t="s">
        <v>1153</v>
      </c>
      <c r="E68" s="68"/>
      <c r="F68" s="56">
        <v>200000</v>
      </c>
      <c r="G68" s="48" t="s">
        <v>1154</v>
      </c>
      <c r="H68" s="48" t="s">
        <v>1183</v>
      </c>
      <c r="I68" s="122" t="s">
        <v>1200</v>
      </c>
      <c r="J68" s="154" t="s">
        <v>1269</v>
      </c>
      <c r="K68" s="114"/>
      <c r="L68" s="6"/>
      <c r="M68" s="6"/>
      <c r="N68" s="60">
        <f>F68-O68</f>
        <v>200000</v>
      </c>
      <c r="O68" s="42">
        <f t="shared" si="15"/>
        <v>0</v>
      </c>
      <c r="P68" s="13"/>
      <c r="Q68" s="13"/>
      <c r="R68" s="13"/>
      <c r="S68" s="13"/>
      <c r="T68" s="13"/>
      <c r="U68" s="13"/>
      <c r="V68" s="41"/>
      <c r="W68" s="80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92"/>
      <c r="AK68" s="4"/>
      <c r="AL68" s="90"/>
    </row>
    <row r="69" spans="2:38" s="7" customFormat="1" ht="21" customHeight="1" x14ac:dyDescent="0.3">
      <c r="B69" s="155">
        <v>46150</v>
      </c>
      <c r="C69" s="62" t="s">
        <v>1168</v>
      </c>
      <c r="D69" s="101" t="s">
        <v>1173</v>
      </c>
      <c r="E69" s="69"/>
      <c r="F69" s="57">
        <v>300000</v>
      </c>
      <c r="G69" s="50" t="s">
        <v>1178</v>
      </c>
      <c r="H69" s="50" t="s">
        <v>1193</v>
      </c>
      <c r="I69" s="118" t="s">
        <v>1201</v>
      </c>
      <c r="J69" s="153"/>
      <c r="K69" s="21"/>
      <c r="L69" s="6"/>
      <c r="M69" s="6"/>
      <c r="N69" s="60">
        <f>F69-O69</f>
        <v>-37000</v>
      </c>
      <c r="O69" s="42">
        <f t="shared" si="15"/>
        <v>337000</v>
      </c>
      <c r="P69" s="13"/>
      <c r="Q69" s="13"/>
      <c r="R69" s="13"/>
      <c r="S69" s="13"/>
      <c r="T69" s="13"/>
      <c r="U69" s="13"/>
      <c r="V69" s="41"/>
      <c r="W69" s="80"/>
      <c r="X69" s="41"/>
      <c r="Y69" s="41"/>
      <c r="Z69" s="41"/>
      <c r="AA69" s="41"/>
      <c r="AB69" s="41"/>
      <c r="AC69" s="41">
        <v>337000</v>
      </c>
      <c r="AD69" s="41"/>
      <c r="AE69" s="41"/>
      <c r="AF69" s="41"/>
      <c r="AG69" s="41"/>
      <c r="AH69" s="41"/>
      <c r="AI69" s="41"/>
      <c r="AJ69" s="92"/>
      <c r="AK69" s="4"/>
      <c r="AL69" s="90"/>
    </row>
    <row r="70" spans="2:38" s="7" customFormat="1" ht="21" customHeight="1" x14ac:dyDescent="0.3">
      <c r="B70" s="155" t="s">
        <v>1182</v>
      </c>
      <c r="C70" s="62" t="s">
        <v>1184</v>
      </c>
      <c r="D70" s="101" t="s">
        <v>1187</v>
      </c>
      <c r="E70" s="69"/>
      <c r="F70" s="57">
        <v>200000</v>
      </c>
      <c r="G70" s="50" t="s">
        <v>1181</v>
      </c>
      <c r="H70" s="50" t="s">
        <v>1190</v>
      </c>
      <c r="I70" s="118" t="s">
        <v>1202</v>
      </c>
      <c r="J70" s="154"/>
      <c r="K70" s="114"/>
      <c r="L70" s="16"/>
      <c r="M70" s="6"/>
      <c r="N70" s="60">
        <f t="shared" si="11"/>
        <v>-53000</v>
      </c>
      <c r="O70" s="42">
        <f t="shared" si="13"/>
        <v>253000</v>
      </c>
      <c r="P70" s="13"/>
      <c r="Q70" s="13"/>
      <c r="R70" s="13"/>
      <c r="S70" s="13"/>
      <c r="T70" s="13"/>
      <c r="U70" s="13"/>
      <c r="V70" s="41"/>
      <c r="W70" s="80"/>
      <c r="X70" s="41"/>
      <c r="Y70" s="41"/>
      <c r="Z70" s="41"/>
      <c r="AA70" s="41"/>
      <c r="AB70" s="41"/>
      <c r="AC70" s="41">
        <v>253000</v>
      </c>
      <c r="AD70" s="41"/>
      <c r="AE70" s="41"/>
      <c r="AF70" s="41"/>
      <c r="AG70" s="41"/>
      <c r="AH70" s="41"/>
      <c r="AI70" s="41"/>
      <c r="AJ70" s="92"/>
      <c r="AK70" s="4"/>
      <c r="AL70" s="90"/>
    </row>
    <row r="71" spans="2:38" s="7" customFormat="1" ht="21" customHeight="1" x14ac:dyDescent="0.3">
      <c r="B71" s="31" t="s">
        <v>1182</v>
      </c>
      <c r="C71" s="61" t="s">
        <v>1185</v>
      </c>
      <c r="D71" s="100" t="s">
        <v>1188</v>
      </c>
      <c r="E71" s="68"/>
      <c r="F71" s="56">
        <v>500000</v>
      </c>
      <c r="G71" s="48" t="s">
        <v>1181</v>
      </c>
      <c r="H71" s="48" t="s">
        <v>1190</v>
      </c>
      <c r="I71" s="122" t="s">
        <v>1202</v>
      </c>
      <c r="J71" s="154" t="s">
        <v>1269</v>
      </c>
      <c r="K71" s="114"/>
      <c r="L71" s="16"/>
      <c r="M71" s="6"/>
      <c r="N71" s="60">
        <f t="shared" si="11"/>
        <v>500000</v>
      </c>
      <c r="O71" s="42">
        <f t="shared" si="13"/>
        <v>0</v>
      </c>
      <c r="P71" s="13"/>
      <c r="Q71" s="13"/>
      <c r="R71" s="13"/>
      <c r="S71" s="13"/>
      <c r="T71" s="13"/>
      <c r="U71" s="13"/>
      <c r="V71" s="41"/>
      <c r="W71" s="80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92"/>
      <c r="AK71" s="4"/>
      <c r="AL71" s="90"/>
    </row>
    <row r="72" spans="2:38" s="7" customFormat="1" ht="21" customHeight="1" x14ac:dyDescent="0.3">
      <c r="B72" s="31" t="s">
        <v>1182</v>
      </c>
      <c r="C72" s="61" t="s">
        <v>1186</v>
      </c>
      <c r="D72" s="100" t="s">
        <v>1118</v>
      </c>
      <c r="E72" s="68"/>
      <c r="F72" s="56">
        <v>200000</v>
      </c>
      <c r="G72" s="48" t="s">
        <v>1181</v>
      </c>
      <c r="H72" s="48" t="s">
        <v>1190</v>
      </c>
      <c r="I72" s="122" t="s">
        <v>1202</v>
      </c>
      <c r="J72" s="154" t="s">
        <v>1269</v>
      </c>
      <c r="K72" s="114"/>
      <c r="L72" s="16"/>
      <c r="M72" s="6"/>
      <c r="N72" s="60">
        <f t="shared" si="11"/>
        <v>200000</v>
      </c>
      <c r="O72" s="42">
        <f t="shared" si="13"/>
        <v>0</v>
      </c>
      <c r="P72" s="13"/>
      <c r="Q72" s="13"/>
      <c r="R72" s="13"/>
      <c r="S72" s="13"/>
      <c r="T72" s="13"/>
      <c r="U72" s="13"/>
      <c r="V72" s="41"/>
      <c r="W72" s="80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92"/>
      <c r="AK72" s="4"/>
      <c r="AL72" s="90"/>
    </row>
    <row r="73" spans="2:38" s="7" customFormat="1" ht="21" customHeight="1" x14ac:dyDescent="0.3">
      <c r="B73" s="31">
        <v>46164</v>
      </c>
      <c r="C73" s="61" t="s">
        <v>18</v>
      </c>
      <c r="D73" s="100" t="s">
        <v>1189</v>
      </c>
      <c r="E73" s="68"/>
      <c r="F73" s="56">
        <v>200000</v>
      </c>
      <c r="G73" s="48" t="s">
        <v>1181</v>
      </c>
      <c r="H73" s="48" t="s">
        <v>1190</v>
      </c>
      <c r="I73" s="122" t="s">
        <v>1202</v>
      </c>
      <c r="J73" s="153" t="s">
        <v>1269</v>
      </c>
      <c r="K73" s="114"/>
      <c r="L73" s="6"/>
      <c r="M73" s="6"/>
      <c r="N73" s="60">
        <f t="shared" si="11"/>
        <v>200000</v>
      </c>
      <c r="O73" s="42">
        <f t="shared" si="13"/>
        <v>0</v>
      </c>
      <c r="P73" s="13"/>
      <c r="Q73" s="13"/>
      <c r="R73" s="13"/>
      <c r="S73" s="13"/>
      <c r="T73" s="13"/>
      <c r="U73" s="13"/>
      <c r="V73" s="41"/>
      <c r="W73" s="80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92"/>
      <c r="AK73" s="4"/>
      <c r="AL73" s="90"/>
    </row>
    <row r="74" spans="2:38" s="7" customFormat="1" ht="21" customHeight="1" x14ac:dyDescent="0.3">
      <c r="B74" s="31">
        <v>46164</v>
      </c>
      <c r="C74" s="61" t="s">
        <v>1221</v>
      </c>
      <c r="D74" s="100" t="s">
        <v>1222</v>
      </c>
      <c r="E74" s="68"/>
      <c r="F74" s="56">
        <v>1000000</v>
      </c>
      <c r="G74" s="48" t="s">
        <v>1220</v>
      </c>
      <c r="H74" s="48" t="s">
        <v>1235</v>
      </c>
      <c r="I74" s="122"/>
      <c r="J74" s="154" t="s">
        <v>1274</v>
      </c>
      <c r="K74" s="114"/>
      <c r="L74" s="6"/>
      <c r="M74" s="6"/>
      <c r="N74" s="60">
        <f t="shared" si="11"/>
        <v>1000000</v>
      </c>
      <c r="O74" s="42">
        <f t="shared" si="13"/>
        <v>0</v>
      </c>
      <c r="P74" s="13"/>
      <c r="Q74" s="13"/>
      <c r="R74" s="13"/>
      <c r="S74" s="13"/>
      <c r="T74" s="13"/>
      <c r="U74" s="13"/>
      <c r="V74" s="41"/>
      <c r="W74" s="80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92"/>
      <c r="AK74" s="4"/>
      <c r="AL74" s="90"/>
    </row>
    <row r="75" spans="2:38" s="7" customFormat="1" ht="21" customHeight="1" x14ac:dyDescent="0.3">
      <c r="B75" s="31">
        <v>46164</v>
      </c>
      <c r="C75" s="61" t="s">
        <v>1223</v>
      </c>
      <c r="D75" s="100" t="s">
        <v>1224</v>
      </c>
      <c r="E75" s="68"/>
      <c r="F75" s="56">
        <v>500000</v>
      </c>
      <c r="G75" s="48" t="s">
        <v>1225</v>
      </c>
      <c r="H75" s="48" t="s">
        <v>1225</v>
      </c>
      <c r="I75" s="122"/>
      <c r="J75" s="156" t="s">
        <v>1269</v>
      </c>
      <c r="K75" s="114"/>
      <c r="L75" s="6"/>
      <c r="M75" s="6"/>
      <c r="N75" s="60">
        <f t="shared" si="11"/>
        <v>500000</v>
      </c>
      <c r="O75" s="42">
        <f t="shared" si="13"/>
        <v>0</v>
      </c>
      <c r="P75" s="13"/>
      <c r="Q75" s="13"/>
      <c r="R75" s="13"/>
      <c r="S75" s="13"/>
      <c r="T75" s="13"/>
      <c r="U75" s="13"/>
      <c r="V75" s="41"/>
      <c r="W75" s="80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92"/>
      <c r="AK75" s="4"/>
      <c r="AL75" s="90"/>
    </row>
    <row r="76" spans="2:38" s="7" customFormat="1" ht="21" customHeight="1" x14ac:dyDescent="0.3">
      <c r="B76" s="31">
        <v>46164</v>
      </c>
      <c r="C76" s="61" t="s">
        <v>1226</v>
      </c>
      <c r="D76" s="100" t="s">
        <v>1227</v>
      </c>
      <c r="E76" s="68"/>
      <c r="F76" s="56">
        <v>200000</v>
      </c>
      <c r="G76" s="48" t="s">
        <v>1228</v>
      </c>
      <c r="H76" s="48" t="s">
        <v>1236</v>
      </c>
      <c r="I76" s="122"/>
      <c r="J76" s="154" t="s">
        <v>1267</v>
      </c>
      <c r="K76" s="21"/>
      <c r="L76" s="6"/>
      <c r="M76" s="6"/>
      <c r="N76" s="60">
        <f t="shared" si="11"/>
        <v>200000</v>
      </c>
      <c r="O76" s="42">
        <f t="shared" si="13"/>
        <v>0</v>
      </c>
      <c r="P76" s="13"/>
      <c r="Q76" s="13"/>
      <c r="R76" s="13"/>
      <c r="S76" s="13"/>
      <c r="T76" s="13"/>
      <c r="U76" s="13"/>
      <c r="V76" s="41"/>
      <c r="W76" s="80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92"/>
      <c r="AK76" s="4"/>
      <c r="AL76" s="90"/>
    </row>
    <row r="77" spans="2:38" s="7" customFormat="1" ht="21" customHeight="1" x14ac:dyDescent="0.3">
      <c r="B77" s="31">
        <v>46164</v>
      </c>
      <c r="C77" s="61" t="s">
        <v>1229</v>
      </c>
      <c r="D77" s="100" t="s">
        <v>1230</v>
      </c>
      <c r="E77" s="68"/>
      <c r="F77" s="56">
        <v>500000</v>
      </c>
      <c r="G77" s="48" t="s">
        <v>1231</v>
      </c>
      <c r="H77" s="48" t="s">
        <v>1231</v>
      </c>
      <c r="I77" s="122"/>
      <c r="J77" s="154" t="s">
        <v>1276</v>
      </c>
      <c r="K77" s="21"/>
      <c r="L77" s="6"/>
      <c r="M77" s="6"/>
      <c r="N77" s="60">
        <f t="shared" si="11"/>
        <v>500000</v>
      </c>
      <c r="O77" s="42">
        <f t="shared" si="13"/>
        <v>0</v>
      </c>
      <c r="P77" s="13"/>
      <c r="Q77" s="13"/>
      <c r="R77" s="13"/>
      <c r="S77" s="13"/>
      <c r="T77" s="13"/>
      <c r="U77" s="13"/>
      <c r="V77" s="41"/>
      <c r="W77" s="80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92"/>
      <c r="AK77" s="4"/>
      <c r="AL77" s="90"/>
    </row>
    <row r="78" spans="2:38" s="7" customFormat="1" ht="21" customHeight="1" x14ac:dyDescent="0.3">
      <c r="B78" s="31">
        <v>46164</v>
      </c>
      <c r="C78" s="61" t="s">
        <v>1232</v>
      </c>
      <c r="D78" s="100" t="s">
        <v>1233</v>
      </c>
      <c r="E78" s="68"/>
      <c r="F78" s="56">
        <v>200000</v>
      </c>
      <c r="G78" s="48" t="s">
        <v>1234</v>
      </c>
      <c r="H78" s="48" t="s">
        <v>1234</v>
      </c>
      <c r="I78" s="122"/>
      <c r="J78" s="154" t="s">
        <v>1275</v>
      </c>
      <c r="K78" s="21"/>
      <c r="L78" s="6"/>
      <c r="M78" s="6"/>
      <c r="N78" s="60">
        <f t="shared" si="11"/>
        <v>200000</v>
      </c>
      <c r="O78" s="42">
        <f t="shared" si="13"/>
        <v>0</v>
      </c>
      <c r="P78" s="13"/>
      <c r="Q78" s="13"/>
      <c r="R78" s="13"/>
      <c r="S78" s="13"/>
      <c r="T78" s="13"/>
      <c r="U78" s="13"/>
      <c r="V78" s="41"/>
      <c r="W78" s="80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92"/>
      <c r="AK78" s="4"/>
      <c r="AL78" s="90"/>
    </row>
    <row r="79" spans="2:38" s="7" customFormat="1" ht="21" customHeight="1" x14ac:dyDescent="0.3">
      <c r="B79" s="31">
        <v>46168</v>
      </c>
      <c r="C79" s="61" t="s">
        <v>1243</v>
      </c>
      <c r="D79" s="100" t="s">
        <v>1244</v>
      </c>
      <c r="E79" s="68"/>
      <c r="F79" s="56">
        <v>300000</v>
      </c>
      <c r="G79" s="48" t="s">
        <v>1245</v>
      </c>
      <c r="H79" s="48" t="s">
        <v>1245</v>
      </c>
      <c r="I79" s="122"/>
      <c r="J79" s="154" t="s">
        <v>1267</v>
      </c>
      <c r="K79" s="21"/>
      <c r="L79" s="6"/>
      <c r="M79" s="6"/>
      <c r="N79" s="60">
        <f t="shared" si="11"/>
        <v>300000</v>
      </c>
      <c r="O79" s="42">
        <f t="shared" si="13"/>
        <v>0</v>
      </c>
      <c r="P79" s="13"/>
      <c r="Q79" s="13"/>
      <c r="R79" s="13"/>
      <c r="S79" s="13"/>
      <c r="T79" s="13"/>
      <c r="U79" s="13"/>
      <c r="V79" s="41"/>
      <c r="W79" s="80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92"/>
      <c r="AK79" s="4"/>
      <c r="AL79" s="90"/>
    </row>
    <row r="80" spans="2:38" s="7" customFormat="1" ht="21" customHeight="1" x14ac:dyDescent="0.3">
      <c r="B80" s="31">
        <v>46168</v>
      </c>
      <c r="C80" s="61" t="s">
        <v>1246</v>
      </c>
      <c r="D80" s="100" t="s">
        <v>1117</v>
      </c>
      <c r="E80" s="68"/>
      <c r="F80" s="56">
        <v>200000</v>
      </c>
      <c r="G80" s="48" t="s">
        <v>1245</v>
      </c>
      <c r="H80" s="48" t="s">
        <v>1245</v>
      </c>
      <c r="I80" s="122"/>
      <c r="J80" s="153" t="s">
        <v>1268</v>
      </c>
      <c r="K80" s="21"/>
      <c r="L80" s="6"/>
      <c r="M80" s="6"/>
      <c r="N80" s="60">
        <f t="shared" si="11"/>
        <v>200000</v>
      </c>
      <c r="O80" s="42">
        <f t="shared" si="13"/>
        <v>0</v>
      </c>
      <c r="P80" s="13"/>
      <c r="Q80" s="13"/>
      <c r="R80" s="13"/>
      <c r="S80" s="13"/>
      <c r="T80" s="13"/>
      <c r="U80" s="13"/>
      <c r="V80" s="41"/>
      <c r="W80" s="80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92"/>
      <c r="AK80" s="4"/>
      <c r="AL80" s="90"/>
    </row>
    <row r="81" spans="2:38" s="7" customFormat="1" ht="21" customHeight="1" x14ac:dyDescent="0.3">
      <c r="B81" s="31">
        <v>46168</v>
      </c>
      <c r="C81" s="61" t="s">
        <v>1247</v>
      </c>
      <c r="D81" s="100" t="s">
        <v>1248</v>
      </c>
      <c r="E81" s="68"/>
      <c r="F81" s="56">
        <v>300000</v>
      </c>
      <c r="G81" s="48" t="s">
        <v>1241</v>
      </c>
      <c r="H81" s="48" t="s">
        <v>1245</v>
      </c>
      <c r="I81" s="122"/>
      <c r="J81" s="153" t="s">
        <v>1267</v>
      </c>
      <c r="K81" s="21"/>
      <c r="L81" s="6"/>
      <c r="M81" s="6"/>
      <c r="N81" s="60">
        <f t="shared" si="11"/>
        <v>300000</v>
      </c>
      <c r="O81" s="42">
        <f t="shared" si="13"/>
        <v>0</v>
      </c>
      <c r="P81" s="13"/>
      <c r="Q81" s="13"/>
      <c r="R81" s="13"/>
      <c r="S81" s="13"/>
      <c r="T81" s="13"/>
      <c r="U81" s="13"/>
      <c r="V81" s="41"/>
      <c r="W81" s="80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92"/>
      <c r="AK81" s="4"/>
      <c r="AL81" s="90"/>
    </row>
    <row r="82" spans="2:38" s="7" customFormat="1" ht="21" customHeight="1" x14ac:dyDescent="0.3">
      <c r="B82" s="31">
        <v>46168</v>
      </c>
      <c r="C82" s="61" t="s">
        <v>1249</v>
      </c>
      <c r="D82" s="100" t="s">
        <v>1250</v>
      </c>
      <c r="E82" s="68"/>
      <c r="F82" s="56">
        <v>8000000</v>
      </c>
      <c r="G82" s="48" t="s">
        <v>1251</v>
      </c>
      <c r="H82" s="48" t="s">
        <v>1251</v>
      </c>
      <c r="I82" s="122"/>
      <c r="J82" s="153" t="s">
        <v>1270</v>
      </c>
      <c r="K82" s="21"/>
      <c r="L82" s="6"/>
      <c r="M82" s="6"/>
      <c r="N82" s="60">
        <f t="shared" si="11"/>
        <v>8000000</v>
      </c>
      <c r="O82" s="42">
        <f t="shared" si="13"/>
        <v>0</v>
      </c>
      <c r="P82" s="13"/>
      <c r="Q82" s="13"/>
      <c r="R82" s="13"/>
      <c r="S82" s="13"/>
      <c r="T82" s="13"/>
      <c r="U82" s="13"/>
      <c r="V82" s="41"/>
      <c r="W82" s="80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92"/>
      <c r="AK82" s="4"/>
      <c r="AL82" s="90"/>
    </row>
    <row r="83" spans="2:38" s="7" customFormat="1" ht="21" customHeight="1" x14ac:dyDescent="0.3">
      <c r="B83" s="31">
        <v>46168</v>
      </c>
      <c r="C83" s="61" t="s">
        <v>1252</v>
      </c>
      <c r="D83" s="100" t="s">
        <v>1253</v>
      </c>
      <c r="E83" s="68"/>
      <c r="F83" s="56">
        <v>300000</v>
      </c>
      <c r="G83" s="48" t="s">
        <v>1251</v>
      </c>
      <c r="H83" s="48" t="s">
        <v>1251</v>
      </c>
      <c r="I83" s="122"/>
      <c r="J83" s="153" t="s">
        <v>1270</v>
      </c>
      <c r="K83" s="21"/>
      <c r="L83" s="6"/>
      <c r="M83" s="6"/>
      <c r="N83" s="60">
        <f t="shared" si="11"/>
        <v>300000</v>
      </c>
      <c r="O83" s="42">
        <f t="shared" si="13"/>
        <v>0</v>
      </c>
      <c r="P83" s="13"/>
      <c r="Q83" s="13"/>
      <c r="R83" s="13"/>
      <c r="S83" s="13"/>
      <c r="T83" s="13"/>
      <c r="U83" s="13"/>
      <c r="V83" s="41"/>
      <c r="W83" s="80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92"/>
      <c r="AK83" s="4"/>
      <c r="AL83" s="90"/>
    </row>
    <row r="84" spans="2:38" s="7" customFormat="1" ht="21" customHeight="1" x14ac:dyDescent="0.3">
      <c r="B84" s="31">
        <v>46169</v>
      </c>
      <c r="C84" s="61" t="s">
        <v>1254</v>
      </c>
      <c r="D84" s="100" t="s">
        <v>1256</v>
      </c>
      <c r="E84" s="68"/>
      <c r="F84" s="56">
        <v>200000</v>
      </c>
      <c r="G84" s="48" t="s">
        <v>1265</v>
      </c>
      <c r="H84" s="48" t="s">
        <v>1257</v>
      </c>
      <c r="I84" s="122"/>
      <c r="J84" s="153" t="s">
        <v>1269</v>
      </c>
      <c r="K84" s="21"/>
      <c r="L84" s="6"/>
      <c r="M84" s="6"/>
      <c r="N84" s="60">
        <f t="shared" si="11"/>
        <v>200000</v>
      </c>
      <c r="O84" s="42">
        <f t="shared" si="13"/>
        <v>0</v>
      </c>
      <c r="P84" s="13"/>
      <c r="Q84" s="13"/>
      <c r="R84" s="13"/>
      <c r="S84" s="13"/>
      <c r="T84" s="13"/>
      <c r="U84" s="13"/>
      <c r="V84" s="41"/>
      <c r="W84" s="80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92"/>
      <c r="AK84" s="4"/>
      <c r="AL84" s="90"/>
    </row>
    <row r="85" spans="2:38" s="7" customFormat="1" ht="21" customHeight="1" x14ac:dyDescent="0.3">
      <c r="B85" s="31">
        <v>46169</v>
      </c>
      <c r="C85" s="61" t="s">
        <v>1258</v>
      </c>
      <c r="D85" s="100" t="s">
        <v>1259</v>
      </c>
      <c r="E85" s="68"/>
      <c r="F85" s="56">
        <v>300000</v>
      </c>
      <c r="G85" s="48" t="s">
        <v>1263</v>
      </c>
      <c r="H85" s="48" t="s">
        <v>1245</v>
      </c>
      <c r="I85" s="122"/>
      <c r="J85" s="157" t="s">
        <v>1271</v>
      </c>
      <c r="K85" s="114"/>
      <c r="L85" s="6"/>
      <c r="M85" s="6"/>
      <c r="N85" s="60">
        <f t="shared" si="11"/>
        <v>300000</v>
      </c>
      <c r="O85" s="42">
        <f t="shared" si="13"/>
        <v>0</v>
      </c>
      <c r="P85" s="13"/>
      <c r="Q85" s="13"/>
      <c r="R85" s="13"/>
      <c r="S85" s="13"/>
      <c r="T85" s="13"/>
      <c r="U85" s="13"/>
      <c r="V85" s="41"/>
      <c r="W85" s="80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92"/>
      <c r="AK85" s="4"/>
      <c r="AL85" s="90"/>
    </row>
    <row r="86" spans="2:38" s="7" customFormat="1" ht="21" customHeight="1" x14ac:dyDescent="0.3">
      <c r="B86" s="31">
        <v>46169</v>
      </c>
      <c r="C86" s="61" t="s">
        <v>1260</v>
      </c>
      <c r="D86" s="100" t="s">
        <v>1262</v>
      </c>
      <c r="E86" s="68"/>
      <c r="F86" s="56">
        <v>300000</v>
      </c>
      <c r="G86" s="48" t="s">
        <v>1263</v>
      </c>
      <c r="H86" s="48" t="s">
        <v>1245</v>
      </c>
      <c r="I86" s="122"/>
      <c r="J86" s="153" t="s">
        <v>1267</v>
      </c>
      <c r="K86" s="21"/>
      <c r="L86" s="6"/>
      <c r="M86" s="6"/>
      <c r="N86" s="60">
        <f t="shared" si="11"/>
        <v>300000</v>
      </c>
      <c r="O86" s="42">
        <f t="shared" si="13"/>
        <v>0</v>
      </c>
      <c r="P86" s="13"/>
      <c r="Q86" s="13"/>
      <c r="R86" s="13"/>
      <c r="S86" s="13"/>
      <c r="T86" s="13"/>
      <c r="U86" s="13"/>
      <c r="V86" s="41"/>
      <c r="W86" s="80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92"/>
      <c r="AK86" s="4"/>
      <c r="AL86" s="90"/>
    </row>
    <row r="87" spans="2:38" s="7" customFormat="1" ht="21" customHeight="1" x14ac:dyDescent="0.3">
      <c r="B87" s="31">
        <v>46169</v>
      </c>
      <c r="C87" s="61" t="s">
        <v>1261</v>
      </c>
      <c r="D87" s="100" t="s">
        <v>1272</v>
      </c>
      <c r="E87" s="68"/>
      <c r="F87" s="56">
        <v>200000</v>
      </c>
      <c r="G87" s="48" t="s">
        <v>1264</v>
      </c>
      <c r="H87" s="48" t="s">
        <v>1266</v>
      </c>
      <c r="I87" s="122"/>
      <c r="J87" s="154" t="s">
        <v>1267</v>
      </c>
      <c r="K87" s="21"/>
      <c r="L87" s="6"/>
      <c r="M87" s="6"/>
      <c r="N87" s="60">
        <f t="shared" si="11"/>
        <v>200000</v>
      </c>
      <c r="O87" s="42">
        <f t="shared" si="13"/>
        <v>0</v>
      </c>
      <c r="P87" s="13"/>
      <c r="Q87" s="13"/>
      <c r="R87" s="13"/>
      <c r="S87" s="13"/>
      <c r="T87" s="13"/>
      <c r="U87" s="13"/>
      <c r="V87" s="41"/>
      <c r="W87" s="80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92"/>
      <c r="AK87" s="4"/>
      <c r="AL87" s="90"/>
    </row>
    <row r="88" spans="2:38" s="7" customFormat="1" ht="21" customHeight="1" x14ac:dyDescent="0.3">
      <c r="B88" s="31">
        <v>46169</v>
      </c>
      <c r="C88" s="61"/>
      <c r="D88" s="100"/>
      <c r="E88" s="68"/>
      <c r="F88" s="56"/>
      <c r="G88" s="48"/>
      <c r="H88" s="48"/>
      <c r="I88" s="122"/>
      <c r="J88" s="21"/>
      <c r="K88" s="21"/>
      <c r="L88" s="6"/>
      <c r="M88" s="6"/>
      <c r="N88" s="60"/>
      <c r="O88" s="42"/>
      <c r="P88" s="13"/>
      <c r="Q88" s="13"/>
      <c r="R88" s="13"/>
      <c r="S88" s="13"/>
      <c r="T88" s="13"/>
      <c r="U88" s="13"/>
      <c r="V88" s="41"/>
      <c r="W88" s="80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92"/>
      <c r="AK88" s="4"/>
      <c r="AL88" s="90"/>
    </row>
    <row r="89" spans="2:38" s="7" customFormat="1" ht="21" customHeight="1" x14ac:dyDescent="0.3">
      <c r="B89" s="85"/>
      <c r="C89" s="61"/>
      <c r="D89" s="100"/>
      <c r="E89" s="70"/>
      <c r="F89" s="56"/>
      <c r="G89" s="48"/>
      <c r="H89" s="52"/>
      <c r="I89" s="119"/>
      <c r="J89" s="20"/>
      <c r="K89" s="20"/>
      <c r="L89" s="6"/>
      <c r="M89" s="13"/>
      <c r="N89" s="60"/>
      <c r="O89" s="42"/>
      <c r="P89" s="13"/>
      <c r="Q89" s="13"/>
      <c r="R89" s="13"/>
      <c r="S89" s="13"/>
      <c r="T89" s="13"/>
      <c r="U89" s="13"/>
      <c r="V89" s="41"/>
      <c r="W89" s="80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92">
        <f t="shared" si="3"/>
        <v>0</v>
      </c>
      <c r="AK89" s="4"/>
      <c r="AL89" s="90"/>
    </row>
    <row r="90" spans="2:38" s="7" customFormat="1" ht="21" hidden="1" customHeight="1" x14ac:dyDescent="0.3">
      <c r="B90" s="31"/>
      <c r="C90" s="61"/>
      <c r="D90" s="101" t="s">
        <v>1111</v>
      </c>
      <c r="E90" s="106"/>
      <c r="F90" s="57"/>
      <c r="G90" s="50"/>
      <c r="H90" s="51" t="s">
        <v>1124</v>
      </c>
      <c r="I90" s="118"/>
      <c r="J90" s="19"/>
      <c r="K90" s="19" t="s">
        <v>1195</v>
      </c>
      <c r="L90" s="99"/>
      <c r="M90" s="13"/>
      <c r="N90" s="60"/>
      <c r="O90" s="42"/>
      <c r="P90" s="13"/>
      <c r="Q90" s="13"/>
      <c r="R90" s="13"/>
      <c r="S90" s="13"/>
      <c r="T90" s="13"/>
      <c r="U90" s="13"/>
      <c r="V90" s="41"/>
      <c r="W90" s="80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92">
        <f t="shared" si="3"/>
        <v>0</v>
      </c>
      <c r="AK90" s="4"/>
      <c r="AL90" s="90"/>
    </row>
    <row r="91" spans="2:38" s="7" customFormat="1" ht="21" hidden="1" customHeight="1" x14ac:dyDescent="0.3">
      <c r="B91" s="31"/>
      <c r="C91" s="63"/>
      <c r="D91" s="101" t="s">
        <v>1112</v>
      </c>
      <c r="E91" s="69"/>
      <c r="F91" s="57"/>
      <c r="G91" s="53"/>
      <c r="H91" s="50" t="s">
        <v>1162</v>
      </c>
      <c r="I91" s="122"/>
      <c r="J91" s="114"/>
      <c r="K91" s="19" t="s">
        <v>1197</v>
      </c>
      <c r="L91" s="6"/>
      <c r="M91" s="6"/>
      <c r="N91" s="60">
        <f>F91-O91</f>
        <v>0</v>
      </c>
      <c r="O91" s="42">
        <f>SUM(P91:AI91)</f>
        <v>0</v>
      </c>
      <c r="P91" s="13"/>
      <c r="Q91" s="13"/>
      <c r="R91" s="13"/>
      <c r="S91" s="13"/>
      <c r="T91" s="13"/>
      <c r="U91" s="13"/>
      <c r="V91" s="41"/>
      <c r="W91" s="80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92">
        <f t="shared" si="3"/>
        <v>0</v>
      </c>
      <c r="AK91" s="4"/>
      <c r="AL91" s="90"/>
    </row>
    <row r="92" spans="2:38" s="7" customFormat="1" ht="21" hidden="1" customHeight="1" x14ac:dyDescent="0.3">
      <c r="B92" s="31"/>
      <c r="C92" s="63"/>
      <c r="D92" s="101" t="s">
        <v>1180</v>
      </c>
      <c r="E92" s="69"/>
      <c r="F92" s="57"/>
      <c r="G92" s="53"/>
      <c r="H92" s="50"/>
      <c r="I92" s="118" t="s">
        <v>1203</v>
      </c>
      <c r="J92" s="19"/>
      <c r="K92" s="19" t="s">
        <v>1195</v>
      </c>
      <c r="L92" s="6"/>
      <c r="M92" s="6"/>
      <c r="N92" s="60"/>
      <c r="O92" s="42"/>
      <c r="P92" s="13"/>
      <c r="Q92" s="13"/>
      <c r="R92" s="13"/>
      <c r="S92" s="13"/>
      <c r="T92" s="13"/>
      <c r="U92" s="13"/>
      <c r="V92" s="41"/>
      <c r="W92" s="80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92"/>
      <c r="AK92" s="4"/>
      <c r="AL92" s="90"/>
    </row>
    <row r="93" spans="2:38" s="7" customFormat="1" ht="21" hidden="1" customHeight="1" x14ac:dyDescent="0.3">
      <c r="B93" s="31"/>
      <c r="C93" s="64"/>
      <c r="D93" s="94" t="s">
        <v>28</v>
      </c>
      <c r="E93" s="29"/>
      <c r="F93" s="58"/>
      <c r="G93" s="50">
        <v>46136</v>
      </c>
      <c r="H93" s="50" t="s">
        <v>1126</v>
      </c>
      <c r="I93" s="118"/>
      <c r="J93" s="19"/>
      <c r="K93" s="19" t="s">
        <v>1195</v>
      </c>
      <c r="L93" s="99"/>
      <c r="M93" s="33"/>
      <c r="N93" s="60">
        <f>F93-O93</f>
        <v>0</v>
      </c>
      <c r="O93" s="42">
        <f>SUM(P93:AI93)</f>
        <v>0</v>
      </c>
      <c r="P93" s="13"/>
      <c r="Q93" s="13"/>
      <c r="R93" s="13"/>
      <c r="S93" s="13"/>
      <c r="T93" s="13"/>
      <c r="U93" s="13"/>
      <c r="V93" s="41"/>
      <c r="W93" s="80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92">
        <f t="shared" si="3"/>
        <v>0</v>
      </c>
      <c r="AK93" s="4"/>
      <c r="AL93" s="90"/>
    </row>
    <row r="94" spans="2:38" s="7" customFormat="1" ht="21" hidden="1" customHeight="1" x14ac:dyDescent="0.3">
      <c r="B94" s="31"/>
      <c r="C94" s="65"/>
      <c r="D94" s="94" t="s">
        <v>29</v>
      </c>
      <c r="E94" s="30"/>
      <c r="F94" s="59"/>
      <c r="G94" s="50">
        <v>46136</v>
      </c>
      <c r="H94" s="50" t="s">
        <v>1127</v>
      </c>
      <c r="I94" s="118"/>
      <c r="J94" s="19"/>
      <c r="K94" s="19" t="s">
        <v>1195</v>
      </c>
      <c r="L94" s="99"/>
      <c r="M94" s="6"/>
      <c r="N94" s="60">
        <f>F94-O94</f>
        <v>0</v>
      </c>
      <c r="O94" s="42">
        <f>SUM(P94:AI94)</f>
        <v>0</v>
      </c>
      <c r="P94" s="13"/>
      <c r="Q94" s="13"/>
      <c r="R94" s="13"/>
      <c r="S94" s="13"/>
      <c r="T94" s="13"/>
      <c r="U94" s="13"/>
      <c r="V94" s="41"/>
      <c r="W94" s="80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92">
        <f t="shared" si="3"/>
        <v>0</v>
      </c>
      <c r="AK94" s="4"/>
      <c r="AL94" s="90"/>
    </row>
    <row r="95" spans="2:38" s="7" customFormat="1" ht="21" customHeight="1" x14ac:dyDescent="0.3">
      <c r="B95" s="31"/>
      <c r="C95" s="66"/>
      <c r="D95" s="101" t="s">
        <v>8</v>
      </c>
      <c r="E95" s="14"/>
      <c r="F95" s="57"/>
      <c r="G95" s="53"/>
      <c r="H95" s="48" t="s">
        <v>1123</v>
      </c>
      <c r="I95" s="122"/>
      <c r="J95" s="34"/>
      <c r="K95" s="34"/>
      <c r="L95" s="33" t="s">
        <v>2</v>
      </c>
      <c r="M95" s="33"/>
      <c r="N95" s="60">
        <f>F95-O95</f>
        <v>0</v>
      </c>
      <c r="O95" s="42">
        <f>SUM(P95:AI95)</f>
        <v>0</v>
      </c>
      <c r="P95" s="13"/>
      <c r="Q95" s="13"/>
      <c r="R95" s="13"/>
      <c r="S95" s="13"/>
      <c r="T95" s="13"/>
      <c r="U95" s="13"/>
      <c r="V95" s="41"/>
      <c r="W95" s="80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92">
        <f t="shared" si="3"/>
        <v>0</v>
      </c>
      <c r="AK95" s="4"/>
      <c r="AL95" s="90"/>
    </row>
    <row r="96" spans="2:38" s="4" customFormat="1" ht="46.5" customHeight="1" x14ac:dyDescent="0.3">
      <c r="B96" s="158" t="s">
        <v>6</v>
      </c>
      <c r="C96" s="158"/>
      <c r="D96" s="102"/>
      <c r="E96" s="35"/>
      <c r="F96" s="36">
        <f>SUM(F5:F37)</f>
        <v>29538000</v>
      </c>
      <c r="G96" s="37"/>
      <c r="H96" s="37"/>
      <c r="I96" s="37"/>
      <c r="J96" s="37"/>
      <c r="K96" s="37"/>
      <c r="L96" s="38" t="s">
        <v>2</v>
      </c>
      <c r="M96" s="40">
        <f>SUM(M5:M33)</f>
        <v>19088409</v>
      </c>
      <c r="N96" s="40">
        <f t="shared" ref="N96:AH96" si="17">SUM(N5:N95)</f>
        <v>26519956</v>
      </c>
      <c r="O96" s="40">
        <f t="shared" si="17"/>
        <v>44843044</v>
      </c>
      <c r="P96" s="40">
        <f t="shared" si="17"/>
        <v>2714000</v>
      </c>
      <c r="Q96" s="40">
        <f t="shared" si="17"/>
        <v>2571000</v>
      </c>
      <c r="R96" s="40">
        <f t="shared" si="17"/>
        <v>2350000</v>
      </c>
      <c r="S96" s="40">
        <f t="shared" si="17"/>
        <v>5502228</v>
      </c>
      <c r="T96" s="40">
        <f t="shared" si="17"/>
        <v>3126000</v>
      </c>
      <c r="U96" s="40">
        <f t="shared" si="17"/>
        <v>1623000</v>
      </c>
      <c r="V96" s="40">
        <f t="shared" si="17"/>
        <v>1754000</v>
      </c>
      <c r="W96" s="40">
        <f t="shared" si="17"/>
        <v>2758000</v>
      </c>
      <c r="X96" s="40">
        <f t="shared" si="17"/>
        <v>1675000</v>
      </c>
      <c r="Y96" s="40">
        <f t="shared" si="17"/>
        <v>4513000</v>
      </c>
      <c r="Z96" s="40">
        <f t="shared" si="17"/>
        <v>1915000</v>
      </c>
      <c r="AA96" s="40">
        <f t="shared" si="17"/>
        <v>6210172</v>
      </c>
      <c r="AB96" s="40">
        <f t="shared" si="17"/>
        <v>1322000</v>
      </c>
      <c r="AC96" s="40">
        <f t="shared" si="17"/>
        <v>1591000</v>
      </c>
      <c r="AD96" s="40">
        <f t="shared" si="17"/>
        <v>481000</v>
      </c>
      <c r="AE96" s="40">
        <f t="shared" si="17"/>
        <v>808000</v>
      </c>
      <c r="AF96" s="40">
        <f t="shared" si="17"/>
        <v>823000</v>
      </c>
      <c r="AG96" s="40">
        <f t="shared" si="17"/>
        <v>2083644</v>
      </c>
      <c r="AH96" s="40">
        <f t="shared" si="17"/>
        <v>483000</v>
      </c>
      <c r="AI96" s="40">
        <f>SUM(AI5:AI33)</f>
        <v>540000</v>
      </c>
      <c r="AJ96" s="39"/>
    </row>
    <row r="97" spans="2:35" s="4" customFormat="1" ht="17.25" x14ac:dyDescent="0.3">
      <c r="B97" s="5"/>
      <c r="C97" s="5"/>
      <c r="D97" s="5"/>
      <c r="E97" s="5"/>
      <c r="F97" s="10"/>
      <c r="G97" s="10"/>
      <c r="H97" s="10"/>
      <c r="I97" s="10"/>
      <c r="J97" s="22"/>
      <c r="K97" s="22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1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</row>
    <row r="98" spans="2:35" x14ac:dyDescent="0.3">
      <c r="B98" s="2"/>
      <c r="C98" s="2"/>
      <c r="D98" s="2"/>
      <c r="E98" s="2"/>
      <c r="F98" s="11"/>
      <c r="G98" s="11"/>
      <c r="H98" s="11"/>
      <c r="I98" s="11"/>
      <c r="J98" s="23"/>
      <c r="K98" s="23"/>
      <c r="L98" s="3"/>
      <c r="M98" s="3"/>
      <c r="N98" s="3"/>
      <c r="O98" s="3"/>
      <c r="P98" s="3"/>
      <c r="Q98" s="3"/>
      <c r="R98" s="3"/>
      <c r="S98" s="3"/>
      <c r="T98" s="3"/>
      <c r="U98" s="3"/>
      <c r="V98" s="74">
        <v>2400000</v>
      </c>
      <c r="W98" s="82">
        <v>2400000</v>
      </c>
      <c r="X98" s="74">
        <v>2400000</v>
      </c>
      <c r="Y98" s="74">
        <v>2400000</v>
      </c>
      <c r="Z98" s="74">
        <v>2400000</v>
      </c>
      <c r="AA98" s="74">
        <v>2400000</v>
      </c>
      <c r="AB98" s="74">
        <v>2400000</v>
      </c>
      <c r="AC98" s="74">
        <v>2400000</v>
      </c>
      <c r="AD98" s="74">
        <v>2400000</v>
      </c>
      <c r="AE98" s="74">
        <v>2400000</v>
      </c>
      <c r="AF98" s="74">
        <v>2400000</v>
      </c>
      <c r="AG98" s="74">
        <v>2400000</v>
      </c>
      <c r="AH98" s="74">
        <v>2400000</v>
      </c>
      <c r="AI98" s="74">
        <v>2400000</v>
      </c>
    </row>
    <row r="99" spans="2:35" x14ac:dyDescent="0.3">
      <c r="B99" s="2"/>
      <c r="C99" s="2"/>
      <c r="D99" s="2"/>
      <c r="E99" s="2"/>
      <c r="F99" s="11"/>
      <c r="G99" s="11"/>
      <c r="H99" s="11"/>
      <c r="I99" s="11"/>
      <c r="J99" s="23"/>
      <c r="K99" s="2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8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 spans="2:35" x14ac:dyDescent="0.3">
      <c r="B100" s="2"/>
      <c r="C100" s="2"/>
      <c r="D100" s="2"/>
      <c r="E100" s="2"/>
      <c r="F100" s="11"/>
      <c r="G100" s="11"/>
      <c r="H100" s="11"/>
      <c r="I100" s="11"/>
      <c r="J100" s="23"/>
      <c r="K100" s="23"/>
      <c r="N100" s="3"/>
      <c r="O100" s="3"/>
      <c r="P100" s="3"/>
      <c r="Q100" s="3"/>
      <c r="R100" s="3"/>
      <c r="S100" s="3"/>
      <c r="T100" s="3"/>
      <c r="U100" s="3"/>
      <c r="V100" s="3"/>
      <c r="W100" s="8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</sheetData>
  <autoFilter ref="B4:AJ96" xr:uid="{FB686F45-013F-4ECA-8C60-B86177E0B921}">
    <filterColumn colId="9">
      <filters blank="1"/>
    </filterColumn>
  </autoFilter>
  <mergeCells count="1">
    <mergeCell ref="B96:C96"/>
  </mergeCells>
  <phoneticPr fontId="1" type="noConversion"/>
  <conditionalFormatting sqref="C105:C1048576 C1:C4">
    <cfRule type="duplicateValues" dxfId="0" priority="1"/>
  </conditionalFormatting>
  <pageMargins left="0" right="0" top="0" bottom="0" header="0.31496062992125984" footer="0.31496062992125984"/>
  <pageSetup paperSize="9" scale="3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DB0E-C8E2-488F-B5C6-19D285E0CB3B}">
  <sheetPr>
    <tabColor rgb="FF92D050"/>
  </sheetPr>
  <dimension ref="B2:K23"/>
  <sheetViews>
    <sheetView showGridLines="0" zoomScale="85" zoomScaleNormal="85" workbookViewId="0">
      <selection activeCell="E22" sqref="E22"/>
    </sheetView>
  </sheetViews>
  <sheetFormatPr defaultRowHeight="16.5" x14ac:dyDescent="0.3"/>
  <cols>
    <col min="1" max="1" width="4" customWidth="1"/>
    <col min="2" max="2" width="9.875" bestFit="1" customWidth="1"/>
    <col min="4" max="4" width="15" customWidth="1"/>
    <col min="6" max="8" width="16.375" customWidth="1"/>
  </cols>
  <sheetData>
    <row r="2" spans="2:11" ht="26.25" x14ac:dyDescent="0.3">
      <c r="B2" s="131" t="s">
        <v>1218</v>
      </c>
    </row>
    <row r="3" spans="2:11" ht="36" customHeight="1" x14ac:dyDescent="0.3">
      <c r="B3" s="141" t="s">
        <v>1215</v>
      </c>
      <c r="C3" s="168" t="s">
        <v>1214</v>
      </c>
      <c r="D3" s="168"/>
      <c r="E3" s="168" t="s">
        <v>1213</v>
      </c>
      <c r="F3" s="168"/>
      <c r="G3" s="142" t="s">
        <v>1212</v>
      </c>
      <c r="H3" s="143" t="s">
        <v>1211</v>
      </c>
      <c r="I3" s="129"/>
      <c r="J3" s="129"/>
      <c r="K3" s="129"/>
    </row>
    <row r="4" spans="2:11" ht="36" customHeight="1" x14ac:dyDescent="0.3">
      <c r="B4" s="144" t="s">
        <v>1216</v>
      </c>
      <c r="C4" s="167" t="s">
        <v>1210</v>
      </c>
      <c r="D4" s="166"/>
      <c r="E4" s="165" t="s">
        <v>1210</v>
      </c>
      <c r="F4" s="166"/>
      <c r="G4" s="145" t="s">
        <v>1209</v>
      </c>
      <c r="H4" s="146" t="s">
        <v>1208</v>
      </c>
      <c r="I4" s="129"/>
      <c r="J4" s="129"/>
      <c r="K4" s="129"/>
    </row>
    <row r="5" spans="2:11" ht="22.5" customHeight="1" x14ac:dyDescent="0.3">
      <c r="B5" s="174">
        <v>46163</v>
      </c>
      <c r="C5" s="133" t="s">
        <v>1207</v>
      </c>
      <c r="D5" s="134">
        <v>40000000</v>
      </c>
      <c r="E5" s="133" t="s">
        <v>1207</v>
      </c>
      <c r="F5" s="134">
        <v>24000000</v>
      </c>
      <c r="G5" s="169">
        <v>12000000</v>
      </c>
      <c r="H5" s="170">
        <v>5300000</v>
      </c>
      <c r="I5" s="129"/>
      <c r="J5" s="129"/>
      <c r="K5" s="129"/>
    </row>
    <row r="6" spans="2:11" ht="22.5" customHeight="1" x14ac:dyDescent="0.3">
      <c r="B6" s="172"/>
      <c r="C6" s="130" t="s">
        <v>1206</v>
      </c>
      <c r="D6" s="132">
        <v>111800000</v>
      </c>
      <c r="E6" s="130" t="s">
        <v>1206</v>
      </c>
      <c r="F6" s="132">
        <v>26000000</v>
      </c>
      <c r="G6" s="169"/>
      <c r="H6" s="170"/>
      <c r="I6" s="129"/>
      <c r="J6" s="129"/>
      <c r="K6" s="129"/>
    </row>
    <row r="7" spans="2:11" ht="22.5" customHeight="1" x14ac:dyDescent="0.3">
      <c r="B7" s="175"/>
      <c r="C7" s="137" t="s">
        <v>1205</v>
      </c>
      <c r="D7" s="138">
        <v>131000000</v>
      </c>
      <c r="E7" s="137" t="s">
        <v>1205</v>
      </c>
      <c r="F7" s="138">
        <v>60000000</v>
      </c>
      <c r="G7" s="169"/>
      <c r="H7" s="170"/>
      <c r="I7" s="129"/>
      <c r="J7" s="129"/>
      <c r="K7" s="129"/>
    </row>
    <row r="8" spans="2:11" ht="22.5" customHeight="1" x14ac:dyDescent="0.3">
      <c r="B8" s="171">
        <v>46170</v>
      </c>
      <c r="C8" s="139" t="s">
        <v>1207</v>
      </c>
      <c r="D8" s="140"/>
      <c r="E8" s="139" t="s">
        <v>1207</v>
      </c>
      <c r="F8" s="140"/>
      <c r="G8" s="159"/>
      <c r="H8" s="162"/>
      <c r="I8" s="129"/>
      <c r="J8" s="129"/>
      <c r="K8" s="129"/>
    </row>
    <row r="9" spans="2:11" ht="22.5" customHeight="1" x14ac:dyDescent="0.3">
      <c r="B9" s="172"/>
      <c r="C9" s="130" t="s">
        <v>1206</v>
      </c>
      <c r="D9" s="132"/>
      <c r="E9" s="130" t="s">
        <v>1206</v>
      </c>
      <c r="F9" s="132"/>
      <c r="G9" s="160"/>
      <c r="H9" s="163"/>
      <c r="I9" s="129"/>
      <c r="J9" s="129"/>
      <c r="K9" s="129"/>
    </row>
    <row r="10" spans="2:11" ht="22.5" customHeight="1" x14ac:dyDescent="0.3">
      <c r="B10" s="173"/>
      <c r="C10" s="135" t="s">
        <v>1205</v>
      </c>
      <c r="D10" s="136"/>
      <c r="E10" s="135" t="s">
        <v>1205</v>
      </c>
      <c r="F10" s="136"/>
      <c r="G10" s="161"/>
      <c r="H10" s="164"/>
      <c r="I10" s="129"/>
      <c r="J10" s="129"/>
      <c r="K10" s="129"/>
    </row>
    <row r="11" spans="2:11" ht="22.5" customHeight="1" x14ac:dyDescent="0.3">
      <c r="B11" s="171">
        <v>46177</v>
      </c>
      <c r="C11" s="139" t="s">
        <v>1207</v>
      </c>
      <c r="D11" s="140"/>
      <c r="E11" s="139" t="s">
        <v>1207</v>
      </c>
      <c r="F11" s="140"/>
      <c r="G11" s="159"/>
      <c r="H11" s="162"/>
      <c r="I11" s="129"/>
      <c r="J11" s="129"/>
      <c r="K11" s="129"/>
    </row>
    <row r="12" spans="2:11" ht="22.5" customHeight="1" x14ac:dyDescent="0.3">
      <c r="B12" s="172"/>
      <c r="C12" s="130" t="s">
        <v>1206</v>
      </c>
      <c r="D12" s="132"/>
      <c r="E12" s="130" t="s">
        <v>1206</v>
      </c>
      <c r="F12" s="132"/>
      <c r="G12" s="160"/>
      <c r="H12" s="163"/>
      <c r="I12" s="129"/>
      <c r="J12" s="129"/>
      <c r="K12" s="129"/>
    </row>
    <row r="13" spans="2:11" ht="22.5" customHeight="1" x14ac:dyDescent="0.3">
      <c r="B13" s="173"/>
      <c r="C13" s="135" t="s">
        <v>1205</v>
      </c>
      <c r="D13" s="136"/>
      <c r="E13" s="135" t="s">
        <v>1205</v>
      </c>
      <c r="F13" s="136"/>
      <c r="G13" s="161"/>
      <c r="H13" s="164"/>
      <c r="I13" s="129"/>
      <c r="J13" s="129"/>
      <c r="K13" s="129"/>
    </row>
    <row r="14" spans="2:11" ht="22.5" customHeight="1" x14ac:dyDescent="0.3">
      <c r="B14" s="171">
        <v>46187</v>
      </c>
      <c r="C14" s="139" t="s">
        <v>1207</v>
      </c>
      <c r="D14" s="140"/>
      <c r="E14" s="139" t="s">
        <v>1207</v>
      </c>
      <c r="F14" s="140"/>
      <c r="G14" s="159"/>
      <c r="H14" s="162"/>
      <c r="I14" s="129"/>
      <c r="J14" s="129"/>
      <c r="K14" s="129"/>
    </row>
    <row r="15" spans="2:11" ht="22.5" customHeight="1" x14ac:dyDescent="0.3">
      <c r="B15" s="172"/>
      <c r="C15" s="130" t="s">
        <v>1206</v>
      </c>
      <c r="D15" s="132"/>
      <c r="E15" s="130" t="s">
        <v>1206</v>
      </c>
      <c r="F15" s="132"/>
      <c r="G15" s="160"/>
      <c r="H15" s="163"/>
      <c r="I15" s="129"/>
      <c r="J15" s="129"/>
      <c r="K15" s="129"/>
    </row>
    <row r="16" spans="2:11" ht="22.5" customHeight="1" x14ac:dyDescent="0.3">
      <c r="B16" s="173"/>
      <c r="C16" s="135" t="s">
        <v>1205</v>
      </c>
      <c r="D16" s="136"/>
      <c r="E16" s="135" t="s">
        <v>1205</v>
      </c>
      <c r="F16" s="136"/>
      <c r="G16" s="161"/>
      <c r="H16" s="164"/>
      <c r="I16" s="129"/>
      <c r="J16" s="129"/>
      <c r="K16" s="129"/>
    </row>
    <row r="17" spans="2:11" ht="22.5" customHeight="1" x14ac:dyDescent="0.3">
      <c r="B17" s="171">
        <v>46191</v>
      </c>
      <c r="C17" s="139" t="s">
        <v>1207</v>
      </c>
      <c r="D17" s="140"/>
      <c r="E17" s="139" t="s">
        <v>1207</v>
      </c>
      <c r="F17" s="140"/>
      <c r="G17" s="159"/>
      <c r="H17" s="162"/>
      <c r="I17" s="129"/>
      <c r="J17" s="129"/>
      <c r="K17" s="129"/>
    </row>
    <row r="18" spans="2:11" ht="22.5" customHeight="1" x14ac:dyDescent="0.3">
      <c r="B18" s="172"/>
      <c r="C18" s="130" t="s">
        <v>1206</v>
      </c>
      <c r="D18" s="132"/>
      <c r="E18" s="130" t="s">
        <v>1206</v>
      </c>
      <c r="F18" s="132"/>
      <c r="G18" s="160"/>
      <c r="H18" s="163"/>
      <c r="I18" s="129"/>
      <c r="J18" s="129"/>
      <c r="K18" s="129"/>
    </row>
    <row r="19" spans="2:11" ht="22.5" customHeight="1" x14ac:dyDescent="0.3">
      <c r="B19" s="173"/>
      <c r="C19" s="135" t="s">
        <v>1205</v>
      </c>
      <c r="D19" s="136"/>
      <c r="E19" s="135" t="s">
        <v>1205</v>
      </c>
      <c r="F19" s="136"/>
      <c r="G19" s="161"/>
      <c r="H19" s="164"/>
      <c r="I19" s="129"/>
      <c r="J19" s="129"/>
      <c r="K19" s="129"/>
    </row>
    <row r="20" spans="2:11" ht="22.5" customHeight="1" x14ac:dyDescent="0.3">
      <c r="B20" s="171">
        <v>46198</v>
      </c>
      <c r="C20" s="139" t="s">
        <v>1207</v>
      </c>
      <c r="D20" s="140"/>
      <c r="E20" s="139" t="s">
        <v>1207</v>
      </c>
      <c r="F20" s="140"/>
      <c r="G20" s="159"/>
      <c r="H20" s="162"/>
      <c r="I20" s="129"/>
      <c r="J20" s="129"/>
      <c r="K20" s="129"/>
    </row>
    <row r="21" spans="2:11" ht="22.5" customHeight="1" x14ac:dyDescent="0.3">
      <c r="B21" s="172"/>
      <c r="C21" s="130" t="s">
        <v>1206</v>
      </c>
      <c r="D21" s="132"/>
      <c r="E21" s="130" t="s">
        <v>1206</v>
      </c>
      <c r="F21" s="132"/>
      <c r="G21" s="160"/>
      <c r="H21" s="163"/>
      <c r="I21" s="129"/>
      <c r="J21" s="129"/>
      <c r="K21" s="129"/>
    </row>
    <row r="22" spans="2:11" ht="22.5" customHeight="1" x14ac:dyDescent="0.3">
      <c r="B22" s="173"/>
      <c r="C22" s="135" t="s">
        <v>1205</v>
      </c>
      <c r="D22" s="136"/>
      <c r="E22" s="135" t="s">
        <v>1205</v>
      </c>
      <c r="F22" s="136"/>
      <c r="G22" s="161"/>
      <c r="H22" s="164"/>
      <c r="I22" s="129"/>
      <c r="J22" s="129"/>
      <c r="K22" s="129"/>
    </row>
    <row r="23" spans="2:11" x14ac:dyDescent="0.3">
      <c r="B23" s="148" t="s">
        <v>1239</v>
      </c>
    </row>
  </sheetData>
  <mergeCells count="22">
    <mergeCell ref="B20:B22"/>
    <mergeCell ref="B5:B7"/>
    <mergeCell ref="B8:B10"/>
    <mergeCell ref="B11:B13"/>
    <mergeCell ref="B14:B16"/>
    <mergeCell ref="B17:B19"/>
    <mergeCell ref="C3:D3"/>
    <mergeCell ref="E3:F3"/>
    <mergeCell ref="G5:G7"/>
    <mergeCell ref="H5:H7"/>
    <mergeCell ref="G8:G10"/>
    <mergeCell ref="H8:H10"/>
    <mergeCell ref="G20:G22"/>
    <mergeCell ref="H20:H22"/>
    <mergeCell ref="E4:F4"/>
    <mergeCell ref="C4:D4"/>
    <mergeCell ref="G11:G13"/>
    <mergeCell ref="H11:H13"/>
    <mergeCell ref="G14:G16"/>
    <mergeCell ref="H14:H16"/>
    <mergeCell ref="G17:G19"/>
    <mergeCell ref="H17:H1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ED948-6C72-4ED8-A42D-42E7707A44C3}">
  <sheetPr>
    <tabColor theme="1"/>
  </sheetPr>
  <dimension ref="A1:F347"/>
  <sheetViews>
    <sheetView workbookViewId="0">
      <selection activeCell="G11" sqref="G11:G13"/>
    </sheetView>
  </sheetViews>
  <sheetFormatPr defaultColWidth="9" defaultRowHeight="16.5" x14ac:dyDescent="0.3"/>
  <cols>
    <col min="1" max="1" width="16.5" style="25" bestFit="1" customWidth="1"/>
    <col min="2" max="2" width="36.75" style="25" bestFit="1" customWidth="1"/>
    <col min="3" max="3" width="93.5" style="25" bestFit="1" customWidth="1"/>
    <col min="4" max="4" width="9" style="25"/>
    <col min="5" max="5" width="11" style="25" bestFit="1" customWidth="1"/>
    <col min="6" max="6" width="15.25" style="25" bestFit="1" customWidth="1"/>
    <col min="7" max="16384" width="9" style="25"/>
  </cols>
  <sheetData>
    <row r="1" spans="1:6" x14ac:dyDescent="0.3">
      <c r="A1" s="27" t="s">
        <v>2</v>
      </c>
      <c r="B1" s="27"/>
      <c r="C1" s="27"/>
      <c r="D1" s="27"/>
      <c r="E1" s="27"/>
      <c r="F1" s="28" t="s">
        <v>1058</v>
      </c>
    </row>
    <row r="2" spans="1:6" x14ac:dyDescent="0.3">
      <c r="A2" s="26" t="s">
        <v>38</v>
      </c>
      <c r="B2" s="26" t="s">
        <v>39</v>
      </c>
      <c r="C2" s="26" t="s">
        <v>40</v>
      </c>
      <c r="D2" s="26" t="s">
        <v>41</v>
      </c>
      <c r="E2" s="26" t="s">
        <v>42</v>
      </c>
      <c r="F2" s="26" t="s">
        <v>43</v>
      </c>
    </row>
    <row r="3" spans="1:6" x14ac:dyDescent="0.3">
      <c r="A3" s="26" t="s">
        <v>44</v>
      </c>
      <c r="B3" s="26" t="s">
        <v>45</v>
      </c>
      <c r="C3" s="26" t="s">
        <v>46</v>
      </c>
      <c r="D3" s="26" t="s">
        <v>47</v>
      </c>
      <c r="E3" s="26" t="s">
        <v>47</v>
      </c>
      <c r="F3" s="26" t="s">
        <v>48</v>
      </c>
    </row>
    <row r="4" spans="1:6" x14ac:dyDescent="0.3">
      <c r="A4" s="26" t="s">
        <v>49</v>
      </c>
      <c r="B4" s="26" t="s">
        <v>45</v>
      </c>
      <c r="C4" s="26" t="s">
        <v>50</v>
      </c>
      <c r="D4" s="26" t="s">
        <v>47</v>
      </c>
      <c r="E4" s="26" t="s">
        <v>47</v>
      </c>
      <c r="F4" s="26" t="s">
        <v>48</v>
      </c>
    </row>
    <row r="5" spans="1:6" x14ac:dyDescent="0.3">
      <c r="A5" s="26" t="s">
        <v>51</v>
      </c>
      <c r="B5" s="26" t="s">
        <v>45</v>
      </c>
      <c r="C5" s="26" t="s">
        <v>52</v>
      </c>
      <c r="D5" s="26" t="s">
        <v>47</v>
      </c>
      <c r="E5" s="26" t="s">
        <v>47</v>
      </c>
      <c r="F5" s="26" t="s">
        <v>48</v>
      </c>
    </row>
    <row r="6" spans="1:6" x14ac:dyDescent="0.3">
      <c r="A6" s="26" t="s">
        <v>53</v>
      </c>
      <c r="B6" s="26" t="s">
        <v>54</v>
      </c>
      <c r="C6" s="26" t="s">
        <v>55</v>
      </c>
      <c r="D6" s="26" t="s">
        <v>47</v>
      </c>
      <c r="E6" s="26" t="s">
        <v>47</v>
      </c>
      <c r="F6" s="26" t="s">
        <v>48</v>
      </c>
    </row>
    <row r="7" spans="1:6" x14ac:dyDescent="0.3">
      <c r="A7" s="26" t="s">
        <v>56</v>
      </c>
      <c r="B7" s="26" t="s">
        <v>57</v>
      </c>
      <c r="C7" s="26" t="s">
        <v>58</v>
      </c>
      <c r="D7" s="26" t="s">
        <v>47</v>
      </c>
      <c r="E7" s="26" t="s">
        <v>47</v>
      </c>
      <c r="F7" s="26" t="s">
        <v>48</v>
      </c>
    </row>
    <row r="8" spans="1:6" x14ac:dyDescent="0.3">
      <c r="A8" s="26" t="s">
        <v>59</v>
      </c>
      <c r="B8" s="26" t="s">
        <v>60</v>
      </c>
      <c r="C8" s="26" t="s">
        <v>61</v>
      </c>
      <c r="D8" s="26" t="s">
        <v>47</v>
      </c>
      <c r="E8" s="26" t="s">
        <v>47</v>
      </c>
      <c r="F8" s="26" t="s">
        <v>48</v>
      </c>
    </row>
    <row r="9" spans="1:6" x14ac:dyDescent="0.3">
      <c r="A9" s="26" t="s">
        <v>62</v>
      </c>
      <c r="B9" s="26" t="s">
        <v>63</v>
      </c>
      <c r="C9" s="26" t="s">
        <v>64</v>
      </c>
      <c r="D9" s="26" t="s">
        <v>47</v>
      </c>
      <c r="E9" s="26" t="s">
        <v>47</v>
      </c>
      <c r="F9" s="26" t="s">
        <v>48</v>
      </c>
    </row>
    <row r="10" spans="1:6" x14ac:dyDescent="0.3">
      <c r="A10" s="26" t="s">
        <v>65</v>
      </c>
      <c r="B10" s="26" t="s">
        <v>66</v>
      </c>
      <c r="C10" s="26" t="s">
        <v>67</v>
      </c>
      <c r="D10" s="26" t="s">
        <v>47</v>
      </c>
      <c r="E10" s="26" t="s">
        <v>47</v>
      </c>
      <c r="F10" s="26" t="s">
        <v>48</v>
      </c>
    </row>
    <row r="11" spans="1:6" x14ac:dyDescent="0.3">
      <c r="A11" s="26" t="s">
        <v>68</v>
      </c>
      <c r="B11" s="26" t="s">
        <v>1059</v>
      </c>
      <c r="C11" s="26" t="s">
        <v>69</v>
      </c>
      <c r="D11" s="26" t="s">
        <v>47</v>
      </c>
      <c r="E11" s="26" t="s">
        <v>47</v>
      </c>
      <c r="F11" s="26" t="s">
        <v>48</v>
      </c>
    </row>
    <row r="12" spans="1:6" x14ac:dyDescent="0.3">
      <c r="A12" s="26" t="s">
        <v>70</v>
      </c>
      <c r="B12" s="26" t="s">
        <v>71</v>
      </c>
      <c r="C12" s="26" t="s">
        <v>72</v>
      </c>
      <c r="D12" s="26" t="s">
        <v>47</v>
      </c>
      <c r="E12" s="26" t="s">
        <v>47</v>
      </c>
      <c r="F12" s="26" t="s">
        <v>48</v>
      </c>
    </row>
    <row r="13" spans="1:6" x14ac:dyDescent="0.3">
      <c r="A13" s="26" t="s">
        <v>73</v>
      </c>
      <c r="B13" s="26" t="s">
        <v>74</v>
      </c>
      <c r="C13" s="26" t="s">
        <v>75</v>
      </c>
      <c r="D13" s="26" t="s">
        <v>47</v>
      </c>
      <c r="E13" s="26" t="s">
        <v>47</v>
      </c>
      <c r="F13" s="26" t="s">
        <v>48</v>
      </c>
    </row>
    <row r="14" spans="1:6" x14ac:dyDescent="0.3">
      <c r="A14" s="26" t="s">
        <v>76</v>
      </c>
      <c r="B14" s="26" t="s">
        <v>77</v>
      </c>
      <c r="C14" s="26" t="s">
        <v>78</v>
      </c>
      <c r="D14" s="26" t="s">
        <v>47</v>
      </c>
      <c r="E14" s="26" t="s">
        <v>47</v>
      </c>
      <c r="F14" s="26" t="s">
        <v>48</v>
      </c>
    </row>
    <row r="15" spans="1:6" x14ac:dyDescent="0.3">
      <c r="A15" s="26" t="s">
        <v>79</v>
      </c>
      <c r="B15" s="26" t="s">
        <v>80</v>
      </c>
      <c r="C15" s="26" t="s">
        <v>81</v>
      </c>
      <c r="D15" s="26" t="s">
        <v>47</v>
      </c>
      <c r="E15" s="26" t="s">
        <v>47</v>
      </c>
      <c r="F15" s="26" t="s">
        <v>48</v>
      </c>
    </row>
    <row r="16" spans="1:6" x14ac:dyDescent="0.3">
      <c r="A16" s="26" t="s">
        <v>82</v>
      </c>
      <c r="B16" s="26" t="s">
        <v>83</v>
      </c>
      <c r="C16" s="26" t="s">
        <v>84</v>
      </c>
      <c r="D16" s="26" t="s">
        <v>47</v>
      </c>
      <c r="E16" s="26" t="s">
        <v>47</v>
      </c>
      <c r="F16" s="26" t="s">
        <v>48</v>
      </c>
    </row>
    <row r="17" spans="1:6" x14ac:dyDescent="0.3">
      <c r="A17" s="26" t="s">
        <v>85</v>
      </c>
      <c r="B17" s="26" t="s">
        <v>86</v>
      </c>
      <c r="C17" s="26" t="s">
        <v>87</v>
      </c>
      <c r="D17" s="26" t="s">
        <v>47</v>
      </c>
      <c r="E17" s="26" t="s">
        <v>47</v>
      </c>
      <c r="F17" s="26" t="s">
        <v>48</v>
      </c>
    </row>
    <row r="18" spans="1:6" x14ac:dyDescent="0.3">
      <c r="A18" s="26" t="s">
        <v>88</v>
      </c>
      <c r="B18" s="26" t="s">
        <v>89</v>
      </c>
      <c r="C18" s="26" t="s">
        <v>90</v>
      </c>
      <c r="D18" s="26" t="s">
        <v>47</v>
      </c>
      <c r="E18" s="26" t="s">
        <v>47</v>
      </c>
      <c r="F18" s="26" t="s">
        <v>48</v>
      </c>
    </row>
    <row r="19" spans="1:6" x14ac:dyDescent="0.3">
      <c r="A19" s="26" t="s">
        <v>91</v>
      </c>
      <c r="B19" s="26" t="s">
        <v>86</v>
      </c>
      <c r="C19" s="26" t="s">
        <v>92</v>
      </c>
      <c r="D19" s="26" t="s">
        <v>47</v>
      </c>
      <c r="E19" s="26" t="s">
        <v>47</v>
      </c>
      <c r="F19" s="26" t="s">
        <v>48</v>
      </c>
    </row>
    <row r="20" spans="1:6" x14ac:dyDescent="0.3">
      <c r="A20" s="26" t="s">
        <v>93</v>
      </c>
      <c r="B20" s="26" t="s">
        <v>94</v>
      </c>
      <c r="C20" s="26" t="s">
        <v>95</v>
      </c>
      <c r="D20" s="26" t="s">
        <v>47</v>
      </c>
      <c r="E20" s="26" t="s">
        <v>47</v>
      </c>
      <c r="F20" s="26" t="s">
        <v>48</v>
      </c>
    </row>
    <row r="21" spans="1:6" x14ac:dyDescent="0.3">
      <c r="A21" s="26" t="s">
        <v>96</v>
      </c>
      <c r="B21" s="26" t="s">
        <v>97</v>
      </c>
      <c r="C21" s="26" t="s">
        <v>98</v>
      </c>
      <c r="D21" s="26" t="s">
        <v>47</v>
      </c>
      <c r="E21" s="26" t="s">
        <v>47</v>
      </c>
      <c r="F21" s="26" t="s">
        <v>48</v>
      </c>
    </row>
    <row r="22" spans="1:6" x14ac:dyDescent="0.3">
      <c r="A22" s="26" t="s">
        <v>99</v>
      </c>
      <c r="B22" s="26" t="s">
        <v>100</v>
      </c>
      <c r="C22" s="26" t="s">
        <v>101</v>
      </c>
      <c r="D22" s="26" t="s">
        <v>47</v>
      </c>
      <c r="E22" s="26" t="s">
        <v>47</v>
      </c>
      <c r="F22" s="26" t="s">
        <v>48</v>
      </c>
    </row>
    <row r="23" spans="1:6" x14ac:dyDescent="0.3">
      <c r="A23" s="26" t="s">
        <v>102</v>
      </c>
      <c r="B23" s="26" t="s">
        <v>86</v>
      </c>
      <c r="C23" s="26" t="s">
        <v>103</v>
      </c>
      <c r="D23" s="26" t="s">
        <v>47</v>
      </c>
      <c r="E23" s="26" t="s">
        <v>47</v>
      </c>
      <c r="F23" s="26" t="s">
        <v>48</v>
      </c>
    </row>
    <row r="24" spans="1:6" x14ac:dyDescent="0.3">
      <c r="A24" s="26" t="s">
        <v>104</v>
      </c>
      <c r="B24" s="26" t="s">
        <v>89</v>
      </c>
      <c r="C24" s="26" t="s">
        <v>105</v>
      </c>
      <c r="D24" s="26" t="s">
        <v>47</v>
      </c>
      <c r="E24" s="26" t="s">
        <v>47</v>
      </c>
      <c r="F24" s="26" t="s">
        <v>48</v>
      </c>
    </row>
    <row r="25" spans="1:6" x14ac:dyDescent="0.3">
      <c r="A25" s="26" t="s">
        <v>106</v>
      </c>
      <c r="B25" s="26" t="s">
        <v>107</v>
      </c>
      <c r="C25" s="26" t="s">
        <v>108</v>
      </c>
      <c r="D25" s="26" t="s">
        <v>47</v>
      </c>
      <c r="E25" s="26" t="s">
        <v>47</v>
      </c>
      <c r="F25" s="26" t="s">
        <v>48</v>
      </c>
    </row>
    <row r="26" spans="1:6" x14ac:dyDescent="0.3">
      <c r="A26" s="26" t="s">
        <v>109</v>
      </c>
      <c r="B26" s="26" t="s">
        <v>110</v>
      </c>
      <c r="C26" s="26" t="s">
        <v>111</v>
      </c>
      <c r="D26" s="26" t="s">
        <v>47</v>
      </c>
      <c r="E26" s="26" t="s">
        <v>47</v>
      </c>
      <c r="F26" s="26" t="s">
        <v>48</v>
      </c>
    </row>
    <row r="27" spans="1:6" x14ac:dyDescent="0.3">
      <c r="A27" s="26" t="s">
        <v>112</v>
      </c>
      <c r="B27" s="26" t="s">
        <v>45</v>
      </c>
      <c r="C27" s="26" t="s">
        <v>113</v>
      </c>
      <c r="D27" s="26" t="s">
        <v>47</v>
      </c>
      <c r="E27" s="26" t="s">
        <v>47</v>
      </c>
      <c r="F27" s="26" t="s">
        <v>48</v>
      </c>
    </row>
    <row r="28" spans="1:6" x14ac:dyDescent="0.3">
      <c r="A28" s="26" t="s">
        <v>114</v>
      </c>
      <c r="B28" s="26" t="s">
        <v>110</v>
      </c>
      <c r="C28" s="26" t="s">
        <v>115</v>
      </c>
      <c r="D28" s="26" t="s">
        <v>47</v>
      </c>
      <c r="E28" s="26" t="s">
        <v>47</v>
      </c>
      <c r="F28" s="26" t="s">
        <v>48</v>
      </c>
    </row>
    <row r="29" spans="1:6" x14ac:dyDescent="0.3">
      <c r="A29" s="26" t="s">
        <v>116</v>
      </c>
      <c r="B29" s="26" t="s">
        <v>110</v>
      </c>
      <c r="C29" s="26" t="s">
        <v>117</v>
      </c>
      <c r="D29" s="26" t="s">
        <v>47</v>
      </c>
      <c r="E29" s="26" t="s">
        <v>47</v>
      </c>
      <c r="F29" s="26" t="s">
        <v>48</v>
      </c>
    </row>
    <row r="30" spans="1:6" x14ac:dyDescent="0.3">
      <c r="A30" s="26" t="s">
        <v>118</v>
      </c>
      <c r="B30" s="26" t="s">
        <v>45</v>
      </c>
      <c r="C30" s="26" t="s">
        <v>119</v>
      </c>
      <c r="D30" s="26" t="s">
        <v>120</v>
      </c>
      <c r="E30" s="26" t="s">
        <v>120</v>
      </c>
      <c r="F30" s="26" t="s">
        <v>121</v>
      </c>
    </row>
    <row r="31" spans="1:6" x14ac:dyDescent="0.3">
      <c r="A31" s="26" t="s">
        <v>122</v>
      </c>
      <c r="B31" s="26" t="s">
        <v>123</v>
      </c>
      <c r="C31" s="26" t="s">
        <v>124</v>
      </c>
      <c r="D31" s="26" t="s">
        <v>120</v>
      </c>
      <c r="E31" s="26" t="s">
        <v>120</v>
      </c>
      <c r="F31" s="26" t="s">
        <v>121</v>
      </c>
    </row>
    <row r="32" spans="1:6" x14ac:dyDescent="0.3">
      <c r="A32" s="26" t="s">
        <v>125</v>
      </c>
      <c r="B32" s="26" t="s">
        <v>126</v>
      </c>
      <c r="C32" s="26" t="s">
        <v>127</v>
      </c>
      <c r="D32" s="26" t="s">
        <v>47</v>
      </c>
      <c r="E32" s="26" t="s">
        <v>47</v>
      </c>
      <c r="F32" s="26" t="s">
        <v>48</v>
      </c>
    </row>
    <row r="33" spans="1:6" x14ac:dyDescent="0.3">
      <c r="A33" s="26" t="s">
        <v>128</v>
      </c>
      <c r="B33" s="26" t="s">
        <v>129</v>
      </c>
      <c r="C33" s="26" t="s">
        <v>130</v>
      </c>
      <c r="D33" s="26" t="s">
        <v>47</v>
      </c>
      <c r="E33" s="26" t="s">
        <v>47</v>
      </c>
      <c r="F33" s="26" t="s">
        <v>48</v>
      </c>
    </row>
    <row r="34" spans="1:6" x14ac:dyDescent="0.3">
      <c r="A34" s="26" t="s">
        <v>131</v>
      </c>
      <c r="B34" s="26" t="s">
        <v>132</v>
      </c>
      <c r="C34" s="26" t="s">
        <v>133</v>
      </c>
      <c r="D34" s="26" t="s">
        <v>47</v>
      </c>
      <c r="E34" s="26" t="s">
        <v>47</v>
      </c>
      <c r="F34" s="26" t="s">
        <v>48</v>
      </c>
    </row>
    <row r="35" spans="1:6" x14ac:dyDescent="0.3">
      <c r="A35" s="26" t="s">
        <v>134</v>
      </c>
      <c r="B35" s="26" t="s">
        <v>135</v>
      </c>
      <c r="C35" s="26" t="s">
        <v>136</v>
      </c>
      <c r="D35" s="26" t="s">
        <v>47</v>
      </c>
      <c r="E35" s="26" t="s">
        <v>47</v>
      </c>
      <c r="F35" s="26" t="s">
        <v>48</v>
      </c>
    </row>
    <row r="36" spans="1:6" x14ac:dyDescent="0.3">
      <c r="A36" s="26" t="s">
        <v>137</v>
      </c>
      <c r="B36" s="26" t="s">
        <v>138</v>
      </c>
      <c r="C36" s="26" t="s">
        <v>139</v>
      </c>
      <c r="D36" s="26" t="s">
        <v>47</v>
      </c>
      <c r="E36" s="26" t="s">
        <v>47</v>
      </c>
      <c r="F36" s="26" t="s">
        <v>48</v>
      </c>
    </row>
    <row r="37" spans="1:6" x14ac:dyDescent="0.3">
      <c r="A37" s="26" t="s">
        <v>140</v>
      </c>
      <c r="B37" s="26" t="s">
        <v>141</v>
      </c>
      <c r="C37" s="26" t="s">
        <v>142</v>
      </c>
      <c r="D37" s="26" t="s">
        <v>47</v>
      </c>
      <c r="E37" s="26" t="s">
        <v>47</v>
      </c>
      <c r="F37" s="26" t="s">
        <v>48</v>
      </c>
    </row>
    <row r="38" spans="1:6" x14ac:dyDescent="0.3">
      <c r="A38" s="26" t="s">
        <v>143</v>
      </c>
      <c r="B38" s="26" t="s">
        <v>144</v>
      </c>
      <c r="C38" s="26" t="s">
        <v>145</v>
      </c>
      <c r="D38" s="26" t="s">
        <v>47</v>
      </c>
      <c r="E38" s="26" t="s">
        <v>47</v>
      </c>
      <c r="F38" s="26" t="s">
        <v>48</v>
      </c>
    </row>
    <row r="39" spans="1:6" x14ac:dyDescent="0.3">
      <c r="A39" s="26" t="s">
        <v>146</v>
      </c>
      <c r="B39" s="26" t="s">
        <v>147</v>
      </c>
      <c r="C39" s="26" t="s">
        <v>148</v>
      </c>
      <c r="D39" s="26" t="s">
        <v>47</v>
      </c>
      <c r="E39" s="26" t="s">
        <v>47</v>
      </c>
      <c r="F39" s="26" t="s">
        <v>48</v>
      </c>
    </row>
    <row r="40" spans="1:6" x14ac:dyDescent="0.3">
      <c r="A40" s="26" t="s">
        <v>149</v>
      </c>
      <c r="B40" s="26" t="s">
        <v>150</v>
      </c>
      <c r="C40" s="26" t="s">
        <v>151</v>
      </c>
      <c r="D40" s="26" t="s">
        <v>47</v>
      </c>
      <c r="E40" s="26" t="s">
        <v>47</v>
      </c>
      <c r="F40" s="26" t="s">
        <v>48</v>
      </c>
    </row>
    <row r="41" spans="1:6" x14ac:dyDescent="0.3">
      <c r="A41" s="26" t="s">
        <v>152</v>
      </c>
      <c r="B41" s="26" t="s">
        <v>153</v>
      </c>
      <c r="C41" s="26" t="s">
        <v>154</v>
      </c>
      <c r="D41" s="26" t="s">
        <v>47</v>
      </c>
      <c r="E41" s="26" t="s">
        <v>47</v>
      </c>
      <c r="F41" s="26" t="s">
        <v>48</v>
      </c>
    </row>
    <row r="42" spans="1:6" x14ac:dyDescent="0.3">
      <c r="A42" s="26" t="s">
        <v>155</v>
      </c>
      <c r="B42" s="26" t="s">
        <v>156</v>
      </c>
      <c r="C42" s="26" t="s">
        <v>157</v>
      </c>
      <c r="D42" s="26" t="s">
        <v>47</v>
      </c>
      <c r="E42" s="26" t="s">
        <v>47</v>
      </c>
      <c r="F42" s="26" t="s">
        <v>48</v>
      </c>
    </row>
    <row r="43" spans="1:6" x14ac:dyDescent="0.3">
      <c r="A43" s="26" t="s">
        <v>158</v>
      </c>
      <c r="B43" s="26" t="s">
        <v>159</v>
      </c>
      <c r="C43" s="26" t="s">
        <v>160</v>
      </c>
      <c r="D43" s="26" t="s">
        <v>47</v>
      </c>
      <c r="E43" s="26" t="s">
        <v>47</v>
      </c>
      <c r="F43" s="26" t="s">
        <v>48</v>
      </c>
    </row>
    <row r="44" spans="1:6" x14ac:dyDescent="0.3">
      <c r="A44" s="26" t="s">
        <v>161</v>
      </c>
      <c r="B44" s="26" t="s">
        <v>45</v>
      </c>
      <c r="C44" s="26" t="s">
        <v>162</v>
      </c>
      <c r="D44" s="26" t="s">
        <v>47</v>
      </c>
      <c r="E44" s="26" t="s">
        <v>47</v>
      </c>
      <c r="F44" s="26" t="s">
        <v>48</v>
      </c>
    </row>
    <row r="45" spans="1:6" x14ac:dyDescent="0.3">
      <c r="A45" s="26" t="s">
        <v>163</v>
      </c>
      <c r="B45" s="26" t="s">
        <v>164</v>
      </c>
      <c r="C45" s="26" t="s">
        <v>165</v>
      </c>
      <c r="D45" s="26" t="s">
        <v>47</v>
      </c>
      <c r="E45" s="26" t="s">
        <v>47</v>
      </c>
      <c r="F45" s="26" t="s">
        <v>48</v>
      </c>
    </row>
    <row r="46" spans="1:6" x14ac:dyDescent="0.3">
      <c r="A46" s="26" t="s">
        <v>166</v>
      </c>
      <c r="B46" s="26" t="s">
        <v>167</v>
      </c>
      <c r="C46" s="26" t="s">
        <v>168</v>
      </c>
      <c r="D46" s="26" t="s">
        <v>47</v>
      </c>
      <c r="E46" s="26" t="s">
        <v>47</v>
      </c>
      <c r="F46" s="26" t="s">
        <v>48</v>
      </c>
    </row>
    <row r="47" spans="1:6" x14ac:dyDescent="0.3">
      <c r="A47" s="26" t="s">
        <v>169</v>
      </c>
      <c r="B47" s="26" t="s">
        <v>170</v>
      </c>
      <c r="C47" s="26" t="s">
        <v>171</v>
      </c>
      <c r="D47" s="26" t="s">
        <v>47</v>
      </c>
      <c r="E47" s="26" t="s">
        <v>47</v>
      </c>
      <c r="F47" s="26" t="s">
        <v>48</v>
      </c>
    </row>
    <row r="48" spans="1:6" x14ac:dyDescent="0.3">
      <c r="A48" s="26" t="s">
        <v>172</v>
      </c>
      <c r="B48" s="26" t="s">
        <v>173</v>
      </c>
      <c r="C48" s="26" t="s">
        <v>174</v>
      </c>
      <c r="D48" s="26" t="s">
        <v>47</v>
      </c>
      <c r="E48" s="26" t="s">
        <v>47</v>
      </c>
      <c r="F48" s="26" t="s">
        <v>48</v>
      </c>
    </row>
    <row r="49" spans="1:6" x14ac:dyDescent="0.3">
      <c r="A49" s="26" t="s">
        <v>175</v>
      </c>
      <c r="B49" s="26" t="s">
        <v>45</v>
      </c>
      <c r="C49" s="26" t="s">
        <v>176</v>
      </c>
      <c r="D49" s="26" t="s">
        <v>47</v>
      </c>
      <c r="E49" s="26" t="s">
        <v>47</v>
      </c>
      <c r="F49" s="26" t="s">
        <v>48</v>
      </c>
    </row>
    <row r="50" spans="1:6" x14ac:dyDescent="0.3">
      <c r="A50" s="26" t="s">
        <v>177</v>
      </c>
      <c r="B50" s="26" t="s">
        <v>178</v>
      </c>
      <c r="C50" s="26" t="s">
        <v>179</v>
      </c>
      <c r="D50" s="26" t="s">
        <v>47</v>
      </c>
      <c r="E50" s="26" t="s">
        <v>47</v>
      </c>
      <c r="F50" s="26" t="s">
        <v>48</v>
      </c>
    </row>
    <row r="51" spans="1:6" x14ac:dyDescent="0.3">
      <c r="A51" s="26" t="s">
        <v>180</v>
      </c>
      <c r="B51" s="26" t="s">
        <v>181</v>
      </c>
      <c r="C51" s="26" t="s">
        <v>182</v>
      </c>
      <c r="D51" s="26" t="s">
        <v>47</v>
      </c>
      <c r="E51" s="26" t="s">
        <v>47</v>
      </c>
      <c r="F51" s="26" t="s">
        <v>48</v>
      </c>
    </row>
    <row r="52" spans="1:6" x14ac:dyDescent="0.3">
      <c r="A52" s="26" t="s">
        <v>183</v>
      </c>
      <c r="B52" s="26" t="s">
        <v>184</v>
      </c>
      <c r="C52" s="26" t="s">
        <v>185</v>
      </c>
      <c r="D52" s="26" t="s">
        <v>47</v>
      </c>
      <c r="E52" s="26" t="s">
        <v>47</v>
      </c>
      <c r="F52" s="26" t="s">
        <v>48</v>
      </c>
    </row>
    <row r="53" spans="1:6" x14ac:dyDescent="0.3">
      <c r="A53" s="26" t="s">
        <v>186</v>
      </c>
      <c r="B53" s="26" t="s">
        <v>187</v>
      </c>
      <c r="C53" s="26" t="s">
        <v>188</v>
      </c>
      <c r="D53" s="26" t="s">
        <v>47</v>
      </c>
      <c r="E53" s="26" t="s">
        <v>47</v>
      </c>
      <c r="F53" s="26" t="s">
        <v>48</v>
      </c>
    </row>
    <row r="54" spans="1:6" x14ac:dyDescent="0.3">
      <c r="A54" s="26" t="s">
        <v>189</v>
      </c>
      <c r="B54" s="26" t="s">
        <v>190</v>
      </c>
      <c r="C54" s="26" t="s">
        <v>191</v>
      </c>
      <c r="D54" s="26" t="s">
        <v>47</v>
      </c>
      <c r="E54" s="26" t="s">
        <v>47</v>
      </c>
      <c r="F54" s="26" t="s">
        <v>48</v>
      </c>
    </row>
    <row r="55" spans="1:6" x14ac:dyDescent="0.3">
      <c r="A55" s="26" t="s">
        <v>192</v>
      </c>
      <c r="B55" s="26" t="s">
        <v>193</v>
      </c>
      <c r="C55" s="26" t="s">
        <v>194</v>
      </c>
      <c r="D55" s="26" t="s">
        <v>47</v>
      </c>
      <c r="E55" s="26" t="s">
        <v>47</v>
      </c>
      <c r="F55" s="26" t="s">
        <v>48</v>
      </c>
    </row>
    <row r="56" spans="1:6" x14ac:dyDescent="0.3">
      <c r="A56" s="26" t="s">
        <v>195</v>
      </c>
      <c r="B56" s="26" t="s">
        <v>196</v>
      </c>
      <c r="C56" s="26" t="s">
        <v>197</v>
      </c>
      <c r="D56" s="26" t="s">
        <v>47</v>
      </c>
      <c r="E56" s="26" t="s">
        <v>47</v>
      </c>
      <c r="F56" s="26" t="s">
        <v>48</v>
      </c>
    </row>
    <row r="57" spans="1:6" x14ac:dyDescent="0.3">
      <c r="A57" s="26" t="s">
        <v>198</v>
      </c>
      <c r="B57" s="26" t="s">
        <v>199</v>
      </c>
      <c r="C57" s="26" t="s">
        <v>200</v>
      </c>
      <c r="D57" s="26" t="s">
        <v>47</v>
      </c>
      <c r="E57" s="26" t="s">
        <v>47</v>
      </c>
      <c r="F57" s="26" t="s">
        <v>48</v>
      </c>
    </row>
    <row r="58" spans="1:6" x14ac:dyDescent="0.3">
      <c r="A58" s="26" t="s">
        <v>201</v>
      </c>
      <c r="B58" s="26" t="s">
        <v>201</v>
      </c>
      <c r="C58" s="26" t="s">
        <v>202</v>
      </c>
      <c r="D58" s="26" t="s">
        <v>47</v>
      </c>
      <c r="E58" s="26" t="s">
        <v>47</v>
      </c>
      <c r="F58" s="26" t="s">
        <v>48</v>
      </c>
    </row>
    <row r="59" spans="1:6" x14ac:dyDescent="0.3">
      <c r="A59" s="26" t="s">
        <v>203</v>
      </c>
      <c r="B59" s="26" t="s">
        <v>204</v>
      </c>
      <c r="C59" s="26" t="s">
        <v>205</v>
      </c>
      <c r="D59" s="26" t="s">
        <v>47</v>
      </c>
      <c r="E59" s="26" t="s">
        <v>47</v>
      </c>
      <c r="F59" s="26" t="s">
        <v>48</v>
      </c>
    </row>
    <row r="60" spans="1:6" x14ac:dyDescent="0.3">
      <c r="A60" s="26" t="s">
        <v>206</v>
      </c>
      <c r="B60" s="26" t="s">
        <v>207</v>
      </c>
      <c r="C60" s="26" t="s">
        <v>208</v>
      </c>
      <c r="D60" s="26" t="s">
        <v>47</v>
      </c>
      <c r="E60" s="26" t="s">
        <v>47</v>
      </c>
      <c r="F60" s="26" t="s">
        <v>48</v>
      </c>
    </row>
    <row r="61" spans="1:6" x14ac:dyDescent="0.3">
      <c r="A61" s="26" t="s">
        <v>209</v>
      </c>
      <c r="B61" s="26" t="s">
        <v>210</v>
      </c>
      <c r="C61" s="26" t="s">
        <v>211</v>
      </c>
      <c r="D61" s="26" t="s">
        <v>47</v>
      </c>
      <c r="E61" s="26" t="s">
        <v>47</v>
      </c>
      <c r="F61" s="26" t="s">
        <v>48</v>
      </c>
    </row>
    <row r="62" spans="1:6" x14ac:dyDescent="0.3">
      <c r="A62" s="26" t="s">
        <v>212</v>
      </c>
      <c r="B62" s="26" t="s">
        <v>213</v>
      </c>
      <c r="C62" s="26" t="s">
        <v>214</v>
      </c>
      <c r="D62" s="26" t="s">
        <v>47</v>
      </c>
      <c r="E62" s="26" t="s">
        <v>47</v>
      </c>
      <c r="F62" s="26" t="s">
        <v>48</v>
      </c>
    </row>
    <row r="63" spans="1:6" x14ac:dyDescent="0.3">
      <c r="A63" s="26" t="s">
        <v>215</v>
      </c>
      <c r="B63" s="26" t="s">
        <v>216</v>
      </c>
      <c r="C63" s="26" t="s">
        <v>217</v>
      </c>
      <c r="D63" s="26" t="s">
        <v>47</v>
      </c>
      <c r="E63" s="26" t="s">
        <v>47</v>
      </c>
      <c r="F63" s="26" t="s">
        <v>48</v>
      </c>
    </row>
    <row r="64" spans="1:6" x14ac:dyDescent="0.3">
      <c r="A64" s="26" t="s">
        <v>218</v>
      </c>
      <c r="B64" s="26" t="s">
        <v>219</v>
      </c>
      <c r="C64" s="26" t="s">
        <v>220</v>
      </c>
      <c r="D64" s="26" t="s">
        <v>47</v>
      </c>
      <c r="E64" s="26" t="s">
        <v>47</v>
      </c>
      <c r="F64" s="26" t="s">
        <v>48</v>
      </c>
    </row>
    <row r="65" spans="1:6" x14ac:dyDescent="0.3">
      <c r="A65" s="26" t="s">
        <v>221</v>
      </c>
      <c r="B65" s="26" t="s">
        <v>222</v>
      </c>
      <c r="C65" s="26" t="s">
        <v>223</v>
      </c>
      <c r="D65" s="26" t="s">
        <v>47</v>
      </c>
      <c r="E65" s="26" t="s">
        <v>47</v>
      </c>
      <c r="F65" s="26" t="s">
        <v>48</v>
      </c>
    </row>
    <row r="66" spans="1:6" x14ac:dyDescent="0.3">
      <c r="A66" s="26" t="s">
        <v>224</v>
      </c>
      <c r="B66" s="26" t="s">
        <v>225</v>
      </c>
      <c r="C66" s="26" t="s">
        <v>226</v>
      </c>
      <c r="D66" s="26" t="s">
        <v>47</v>
      </c>
      <c r="E66" s="26" t="s">
        <v>47</v>
      </c>
      <c r="F66" s="26" t="s">
        <v>48</v>
      </c>
    </row>
    <row r="67" spans="1:6" x14ac:dyDescent="0.3">
      <c r="A67" s="26" t="s">
        <v>227</v>
      </c>
      <c r="B67" s="26" t="s">
        <v>228</v>
      </c>
      <c r="C67" s="26" t="s">
        <v>229</v>
      </c>
      <c r="D67" s="26" t="s">
        <v>47</v>
      </c>
      <c r="E67" s="26" t="s">
        <v>47</v>
      </c>
      <c r="F67" s="26" t="s">
        <v>48</v>
      </c>
    </row>
    <row r="68" spans="1:6" x14ac:dyDescent="0.3">
      <c r="A68" s="26" t="s">
        <v>230</v>
      </c>
      <c r="B68" s="26" t="s">
        <v>231</v>
      </c>
      <c r="C68" s="26" t="s">
        <v>232</v>
      </c>
      <c r="D68" s="26" t="s">
        <v>47</v>
      </c>
      <c r="E68" s="26" t="s">
        <v>47</v>
      </c>
      <c r="F68" s="26" t="s">
        <v>48</v>
      </c>
    </row>
    <row r="69" spans="1:6" x14ac:dyDescent="0.3">
      <c r="A69" s="26" t="s">
        <v>233</v>
      </c>
      <c r="B69" s="26" t="s">
        <v>234</v>
      </c>
      <c r="C69" s="26" t="s">
        <v>235</v>
      </c>
      <c r="D69" s="26" t="s">
        <v>47</v>
      </c>
      <c r="E69" s="26" t="s">
        <v>47</v>
      </c>
      <c r="F69" s="26" t="s">
        <v>48</v>
      </c>
    </row>
    <row r="70" spans="1:6" x14ac:dyDescent="0.3">
      <c r="A70" s="26" t="s">
        <v>236</v>
      </c>
      <c r="B70" s="26" t="s">
        <v>237</v>
      </c>
      <c r="C70" s="26" t="s">
        <v>238</v>
      </c>
      <c r="D70" s="26" t="s">
        <v>47</v>
      </c>
      <c r="E70" s="26" t="s">
        <v>47</v>
      </c>
      <c r="F70" s="26" t="s">
        <v>48</v>
      </c>
    </row>
    <row r="71" spans="1:6" x14ac:dyDescent="0.3">
      <c r="A71" s="26" t="s">
        <v>239</v>
      </c>
      <c r="B71" s="26" t="s">
        <v>240</v>
      </c>
      <c r="C71" s="26" t="s">
        <v>241</v>
      </c>
      <c r="D71" s="26" t="s">
        <v>47</v>
      </c>
      <c r="E71" s="26" t="s">
        <v>47</v>
      </c>
      <c r="F71" s="26" t="s">
        <v>48</v>
      </c>
    </row>
    <row r="72" spans="1:6" x14ac:dyDescent="0.3">
      <c r="A72" s="26" t="s">
        <v>242</v>
      </c>
      <c r="B72" s="26" t="s">
        <v>243</v>
      </c>
      <c r="C72" s="26" t="s">
        <v>244</v>
      </c>
      <c r="D72" s="26" t="s">
        <v>47</v>
      </c>
      <c r="E72" s="26" t="s">
        <v>47</v>
      </c>
      <c r="F72" s="26" t="s">
        <v>48</v>
      </c>
    </row>
    <row r="73" spans="1:6" x14ac:dyDescent="0.3">
      <c r="A73" s="26" t="s">
        <v>245</v>
      </c>
      <c r="B73" s="26" t="s">
        <v>246</v>
      </c>
      <c r="C73" s="26" t="s">
        <v>247</v>
      </c>
      <c r="D73" s="26" t="s">
        <v>248</v>
      </c>
      <c r="E73" s="26" t="s">
        <v>120</v>
      </c>
      <c r="F73" s="26" t="s">
        <v>121</v>
      </c>
    </row>
    <row r="74" spans="1:6" x14ac:dyDescent="0.3">
      <c r="A74" s="26" t="s">
        <v>249</v>
      </c>
      <c r="B74" s="26" t="s">
        <v>250</v>
      </c>
      <c r="C74" s="26" t="s">
        <v>251</v>
      </c>
      <c r="D74" s="26" t="s">
        <v>47</v>
      </c>
      <c r="E74" s="26" t="s">
        <v>47</v>
      </c>
      <c r="F74" s="26" t="s">
        <v>48</v>
      </c>
    </row>
    <row r="75" spans="1:6" x14ac:dyDescent="0.3">
      <c r="A75" s="26" t="s">
        <v>252</v>
      </c>
      <c r="B75" s="26" t="s">
        <v>253</v>
      </c>
      <c r="C75" s="26" t="s">
        <v>254</v>
      </c>
      <c r="D75" s="26" t="s">
        <v>47</v>
      </c>
      <c r="E75" s="26" t="s">
        <v>47</v>
      </c>
      <c r="F75" s="26" t="s">
        <v>48</v>
      </c>
    </row>
    <row r="76" spans="1:6" x14ac:dyDescent="0.3">
      <c r="A76" s="26" t="s">
        <v>255</v>
      </c>
      <c r="B76" s="26" t="s">
        <v>256</v>
      </c>
      <c r="C76" s="26" t="s">
        <v>257</v>
      </c>
      <c r="D76" s="26" t="s">
        <v>47</v>
      </c>
      <c r="E76" s="26" t="s">
        <v>47</v>
      </c>
      <c r="F76" s="26" t="s">
        <v>48</v>
      </c>
    </row>
    <row r="77" spans="1:6" x14ac:dyDescent="0.3">
      <c r="A77" s="26" t="s">
        <v>258</v>
      </c>
      <c r="B77" s="26" t="s">
        <v>259</v>
      </c>
      <c r="C77" s="26" t="s">
        <v>260</v>
      </c>
      <c r="D77" s="26" t="s">
        <v>47</v>
      </c>
      <c r="E77" s="26" t="s">
        <v>47</v>
      </c>
      <c r="F77" s="26" t="s">
        <v>48</v>
      </c>
    </row>
    <row r="78" spans="1:6" x14ac:dyDescent="0.3">
      <c r="A78" s="26" t="s">
        <v>261</v>
      </c>
      <c r="B78" s="26" t="s">
        <v>262</v>
      </c>
      <c r="C78" s="26" t="s">
        <v>263</v>
      </c>
      <c r="D78" s="26" t="s">
        <v>47</v>
      </c>
      <c r="E78" s="26" t="s">
        <v>47</v>
      </c>
      <c r="F78" s="26" t="s">
        <v>48</v>
      </c>
    </row>
    <row r="79" spans="1:6" x14ac:dyDescent="0.3">
      <c r="A79" s="26" t="s">
        <v>264</v>
      </c>
      <c r="B79" s="26" t="s">
        <v>265</v>
      </c>
      <c r="C79" s="26" t="s">
        <v>266</v>
      </c>
      <c r="D79" s="26" t="s">
        <v>47</v>
      </c>
      <c r="E79" s="26" t="s">
        <v>47</v>
      </c>
      <c r="F79" s="26" t="s">
        <v>48</v>
      </c>
    </row>
    <row r="80" spans="1:6" x14ac:dyDescent="0.3">
      <c r="A80" s="26" t="s">
        <v>267</v>
      </c>
      <c r="B80" s="26" t="s">
        <v>268</v>
      </c>
      <c r="C80" s="26" t="s">
        <v>269</v>
      </c>
      <c r="D80" s="26" t="s">
        <v>47</v>
      </c>
      <c r="E80" s="26" t="s">
        <v>47</v>
      </c>
      <c r="F80" s="26" t="s">
        <v>48</v>
      </c>
    </row>
    <row r="81" spans="1:6" x14ac:dyDescent="0.3">
      <c r="A81" s="26" t="s">
        <v>270</v>
      </c>
      <c r="B81" s="26" t="s">
        <v>271</v>
      </c>
      <c r="C81" s="26" t="s">
        <v>272</v>
      </c>
      <c r="D81" s="26" t="s">
        <v>47</v>
      </c>
      <c r="E81" s="26" t="s">
        <v>47</v>
      </c>
      <c r="F81" s="26" t="s">
        <v>48</v>
      </c>
    </row>
    <row r="82" spans="1:6" x14ac:dyDescent="0.3">
      <c r="A82" s="26" t="s">
        <v>273</v>
      </c>
      <c r="B82" s="26" t="s">
        <v>274</v>
      </c>
      <c r="C82" s="26" t="s">
        <v>275</v>
      </c>
      <c r="D82" s="26" t="s">
        <v>47</v>
      </c>
      <c r="E82" s="26" t="s">
        <v>47</v>
      </c>
      <c r="F82" s="26" t="s">
        <v>48</v>
      </c>
    </row>
    <row r="83" spans="1:6" x14ac:dyDescent="0.3">
      <c r="A83" s="26" t="s">
        <v>276</v>
      </c>
      <c r="B83" s="26" t="s">
        <v>277</v>
      </c>
      <c r="C83" s="26" t="s">
        <v>278</v>
      </c>
      <c r="D83" s="26" t="s">
        <v>47</v>
      </c>
      <c r="E83" s="26" t="s">
        <v>47</v>
      </c>
      <c r="F83" s="26" t="s">
        <v>48</v>
      </c>
    </row>
    <row r="84" spans="1:6" x14ac:dyDescent="0.3">
      <c r="A84" s="26" t="s">
        <v>279</v>
      </c>
      <c r="B84" s="26" t="s">
        <v>280</v>
      </c>
      <c r="C84" s="26" t="s">
        <v>281</v>
      </c>
      <c r="D84" s="26" t="s">
        <v>47</v>
      </c>
      <c r="E84" s="26" t="s">
        <v>47</v>
      </c>
      <c r="F84" s="26" t="s">
        <v>48</v>
      </c>
    </row>
    <row r="85" spans="1:6" x14ac:dyDescent="0.3">
      <c r="A85" s="26" t="s">
        <v>282</v>
      </c>
      <c r="B85" s="26" t="s">
        <v>283</v>
      </c>
      <c r="C85" s="26" t="s">
        <v>284</v>
      </c>
      <c r="D85" s="26" t="s">
        <v>47</v>
      </c>
      <c r="E85" s="26" t="s">
        <v>47</v>
      </c>
      <c r="F85" s="26" t="s">
        <v>48</v>
      </c>
    </row>
    <row r="86" spans="1:6" x14ac:dyDescent="0.3">
      <c r="A86" s="26" t="s">
        <v>285</v>
      </c>
      <c r="B86" s="26" t="s">
        <v>286</v>
      </c>
      <c r="C86" s="26" t="s">
        <v>287</v>
      </c>
      <c r="D86" s="26" t="s">
        <v>47</v>
      </c>
      <c r="E86" s="26" t="s">
        <v>47</v>
      </c>
      <c r="F86" s="26" t="s">
        <v>48</v>
      </c>
    </row>
    <row r="87" spans="1:6" x14ac:dyDescent="0.3">
      <c r="A87" s="26" t="s">
        <v>288</v>
      </c>
      <c r="B87" s="26" t="s">
        <v>289</v>
      </c>
      <c r="C87" s="26" t="s">
        <v>290</v>
      </c>
      <c r="D87" s="26" t="s">
        <v>47</v>
      </c>
      <c r="E87" s="26" t="s">
        <v>47</v>
      </c>
      <c r="F87" s="26" t="s">
        <v>48</v>
      </c>
    </row>
    <row r="88" spans="1:6" x14ac:dyDescent="0.3">
      <c r="A88" s="26" t="s">
        <v>291</v>
      </c>
      <c r="B88" s="26" t="s">
        <v>292</v>
      </c>
      <c r="C88" s="26" t="s">
        <v>293</v>
      </c>
      <c r="D88" s="26" t="s">
        <v>47</v>
      </c>
      <c r="E88" s="26" t="s">
        <v>47</v>
      </c>
      <c r="F88" s="26" t="s">
        <v>48</v>
      </c>
    </row>
    <row r="89" spans="1:6" x14ac:dyDescent="0.3">
      <c r="A89" s="26" t="s">
        <v>294</v>
      </c>
      <c r="B89" s="26" t="s">
        <v>295</v>
      </c>
      <c r="C89" s="26" t="s">
        <v>296</v>
      </c>
      <c r="D89" s="26" t="s">
        <v>47</v>
      </c>
      <c r="E89" s="26" t="s">
        <v>47</v>
      </c>
      <c r="F89" s="26" t="s">
        <v>48</v>
      </c>
    </row>
    <row r="90" spans="1:6" x14ac:dyDescent="0.3">
      <c r="A90" s="26" t="s">
        <v>297</v>
      </c>
      <c r="B90" s="26" t="s">
        <v>298</v>
      </c>
      <c r="C90" s="26" t="s">
        <v>299</v>
      </c>
      <c r="D90" s="26" t="s">
        <v>47</v>
      </c>
      <c r="E90" s="26" t="s">
        <v>47</v>
      </c>
      <c r="F90" s="26" t="s">
        <v>48</v>
      </c>
    </row>
    <row r="91" spans="1:6" x14ac:dyDescent="0.3">
      <c r="A91" s="26" t="s">
        <v>300</v>
      </c>
      <c r="B91" s="26" t="s">
        <v>301</v>
      </c>
      <c r="C91" s="26" t="s">
        <v>302</v>
      </c>
      <c r="D91" s="26" t="s">
        <v>47</v>
      </c>
      <c r="E91" s="26" t="s">
        <v>47</v>
      </c>
      <c r="F91" s="26" t="s">
        <v>48</v>
      </c>
    </row>
    <row r="92" spans="1:6" x14ac:dyDescent="0.3">
      <c r="A92" s="26" t="s">
        <v>303</v>
      </c>
      <c r="B92" s="26" t="s">
        <v>304</v>
      </c>
      <c r="C92" s="26" t="s">
        <v>305</v>
      </c>
      <c r="D92" s="26" t="s">
        <v>47</v>
      </c>
      <c r="E92" s="26" t="s">
        <v>47</v>
      </c>
      <c r="F92" s="26" t="s">
        <v>48</v>
      </c>
    </row>
    <row r="93" spans="1:6" x14ac:dyDescent="0.3">
      <c r="A93" s="26" t="s">
        <v>306</v>
      </c>
      <c r="B93" s="26" t="s">
        <v>307</v>
      </c>
      <c r="C93" s="26" t="s">
        <v>308</v>
      </c>
      <c r="D93" s="26" t="s">
        <v>47</v>
      </c>
      <c r="E93" s="26" t="s">
        <v>47</v>
      </c>
      <c r="F93" s="26" t="s">
        <v>48</v>
      </c>
    </row>
    <row r="94" spans="1:6" x14ac:dyDescent="0.3">
      <c r="A94" s="26" t="s">
        <v>309</v>
      </c>
      <c r="B94" s="26" t="s">
        <v>310</v>
      </c>
      <c r="C94" s="26" t="s">
        <v>311</v>
      </c>
      <c r="D94" s="26" t="s">
        <v>47</v>
      </c>
      <c r="E94" s="26" t="s">
        <v>47</v>
      </c>
      <c r="F94" s="26" t="s">
        <v>48</v>
      </c>
    </row>
    <row r="95" spans="1:6" x14ac:dyDescent="0.3">
      <c r="A95" s="26" t="s">
        <v>312</v>
      </c>
      <c r="B95" s="26" t="s">
        <v>313</v>
      </c>
      <c r="C95" s="26" t="s">
        <v>314</v>
      </c>
      <c r="D95" s="26" t="s">
        <v>47</v>
      </c>
      <c r="E95" s="26" t="s">
        <v>47</v>
      </c>
      <c r="F95" s="26" t="s">
        <v>48</v>
      </c>
    </row>
    <row r="96" spans="1:6" x14ac:dyDescent="0.3">
      <c r="A96" s="26" t="s">
        <v>315</v>
      </c>
      <c r="B96" s="26" t="s">
        <v>316</v>
      </c>
      <c r="C96" s="26" t="s">
        <v>317</v>
      </c>
      <c r="D96" s="26" t="s">
        <v>47</v>
      </c>
      <c r="E96" s="26" t="s">
        <v>47</v>
      </c>
      <c r="F96" s="26" t="s">
        <v>48</v>
      </c>
    </row>
    <row r="97" spans="1:6" x14ac:dyDescent="0.3">
      <c r="A97" s="26" t="s">
        <v>318</v>
      </c>
      <c r="B97" s="26" t="s">
        <v>319</v>
      </c>
      <c r="C97" s="26" t="s">
        <v>320</v>
      </c>
      <c r="D97" s="26" t="s">
        <v>47</v>
      </c>
      <c r="E97" s="26" t="s">
        <v>47</v>
      </c>
      <c r="F97" s="26" t="s">
        <v>48</v>
      </c>
    </row>
    <row r="98" spans="1:6" x14ac:dyDescent="0.3">
      <c r="A98" s="26" t="s">
        <v>321</v>
      </c>
      <c r="B98" s="26" t="s">
        <v>322</v>
      </c>
      <c r="C98" s="26" t="s">
        <v>323</v>
      </c>
      <c r="D98" s="26" t="s">
        <v>47</v>
      </c>
      <c r="E98" s="26" t="s">
        <v>47</v>
      </c>
      <c r="F98" s="26" t="s">
        <v>48</v>
      </c>
    </row>
    <row r="99" spans="1:6" x14ac:dyDescent="0.3">
      <c r="A99" s="26" t="s">
        <v>324</v>
      </c>
      <c r="B99" s="26" t="s">
        <v>325</v>
      </c>
      <c r="C99" s="26" t="s">
        <v>326</v>
      </c>
      <c r="D99" s="26" t="s">
        <v>47</v>
      </c>
      <c r="E99" s="26" t="s">
        <v>47</v>
      </c>
      <c r="F99" s="26" t="s">
        <v>48</v>
      </c>
    </row>
    <row r="100" spans="1:6" x14ac:dyDescent="0.3">
      <c r="A100" s="26" t="s">
        <v>327</v>
      </c>
      <c r="B100" s="26" t="s">
        <v>328</v>
      </c>
      <c r="C100" s="26" t="s">
        <v>329</v>
      </c>
      <c r="D100" s="26" t="s">
        <v>47</v>
      </c>
      <c r="E100" s="26" t="s">
        <v>47</v>
      </c>
      <c r="F100" s="26" t="s">
        <v>48</v>
      </c>
    </row>
    <row r="101" spans="1:6" x14ac:dyDescent="0.3">
      <c r="A101" s="26" t="s">
        <v>330</v>
      </c>
      <c r="B101" s="26" t="s">
        <v>331</v>
      </c>
      <c r="C101" s="26" t="s">
        <v>332</v>
      </c>
      <c r="D101" s="26" t="s">
        <v>47</v>
      </c>
      <c r="E101" s="26" t="s">
        <v>47</v>
      </c>
      <c r="F101" s="26" t="s">
        <v>48</v>
      </c>
    </row>
    <row r="102" spans="1:6" x14ac:dyDescent="0.3">
      <c r="A102" s="26" t="s">
        <v>333</v>
      </c>
      <c r="B102" s="26" t="s">
        <v>334</v>
      </c>
      <c r="C102" s="26" t="s">
        <v>335</v>
      </c>
      <c r="D102" s="26" t="s">
        <v>47</v>
      </c>
      <c r="E102" s="26" t="s">
        <v>47</v>
      </c>
      <c r="F102" s="26" t="s">
        <v>48</v>
      </c>
    </row>
    <row r="103" spans="1:6" x14ac:dyDescent="0.3">
      <c r="A103" s="26" t="s">
        <v>336</v>
      </c>
      <c r="B103" s="26" t="s">
        <v>337</v>
      </c>
      <c r="C103" s="26" t="s">
        <v>338</v>
      </c>
      <c r="D103" s="26" t="s">
        <v>47</v>
      </c>
      <c r="E103" s="26" t="s">
        <v>47</v>
      </c>
      <c r="F103" s="26" t="s">
        <v>48</v>
      </c>
    </row>
    <row r="104" spans="1:6" x14ac:dyDescent="0.3">
      <c r="A104" s="26" t="s">
        <v>339</v>
      </c>
      <c r="B104" s="26" t="s">
        <v>340</v>
      </c>
      <c r="C104" s="26" t="s">
        <v>341</v>
      </c>
      <c r="D104" s="26" t="s">
        <v>47</v>
      </c>
      <c r="E104" s="26" t="s">
        <v>47</v>
      </c>
      <c r="F104" s="26" t="s">
        <v>48</v>
      </c>
    </row>
    <row r="105" spans="1:6" x14ac:dyDescent="0.3">
      <c r="A105" s="26" t="s">
        <v>342</v>
      </c>
      <c r="B105" s="26" t="s">
        <v>343</v>
      </c>
      <c r="C105" s="26" t="s">
        <v>344</v>
      </c>
      <c r="D105" s="26" t="s">
        <v>47</v>
      </c>
      <c r="E105" s="26" t="s">
        <v>47</v>
      </c>
      <c r="F105" s="26" t="s">
        <v>48</v>
      </c>
    </row>
    <row r="106" spans="1:6" x14ac:dyDescent="0.3">
      <c r="A106" s="26" t="s">
        <v>345</v>
      </c>
      <c r="B106" s="26" t="s">
        <v>346</v>
      </c>
      <c r="C106" s="26" t="s">
        <v>347</v>
      </c>
      <c r="D106" s="26" t="s">
        <v>47</v>
      </c>
      <c r="E106" s="26" t="s">
        <v>47</v>
      </c>
      <c r="F106" s="26" t="s">
        <v>48</v>
      </c>
    </row>
    <row r="107" spans="1:6" x14ac:dyDescent="0.3">
      <c r="A107" s="26" t="s">
        <v>348</v>
      </c>
      <c r="B107" s="26" t="s">
        <v>349</v>
      </c>
      <c r="C107" s="26" t="s">
        <v>350</v>
      </c>
      <c r="D107" s="26" t="s">
        <v>47</v>
      </c>
      <c r="E107" s="26" t="s">
        <v>47</v>
      </c>
      <c r="F107" s="26" t="s">
        <v>48</v>
      </c>
    </row>
    <row r="108" spans="1:6" x14ac:dyDescent="0.3">
      <c r="A108" s="26" t="s">
        <v>351</v>
      </c>
      <c r="B108" s="26" t="s">
        <v>352</v>
      </c>
      <c r="C108" s="26" t="s">
        <v>353</v>
      </c>
      <c r="D108" s="26" t="s">
        <v>120</v>
      </c>
      <c r="E108" s="26" t="s">
        <v>120</v>
      </c>
      <c r="F108" s="26" t="s">
        <v>121</v>
      </c>
    </row>
    <row r="109" spans="1:6" x14ac:dyDescent="0.3">
      <c r="A109" s="26" t="s">
        <v>354</v>
      </c>
      <c r="B109" s="26" t="s">
        <v>355</v>
      </c>
      <c r="C109" s="26" t="s">
        <v>356</v>
      </c>
      <c r="D109" s="26" t="s">
        <v>47</v>
      </c>
      <c r="E109" s="26" t="s">
        <v>47</v>
      </c>
      <c r="F109" s="26" t="s">
        <v>48</v>
      </c>
    </row>
    <row r="110" spans="1:6" x14ac:dyDescent="0.3">
      <c r="A110" s="26" t="s">
        <v>357</v>
      </c>
      <c r="B110" s="26" t="s">
        <v>358</v>
      </c>
      <c r="C110" s="26" t="s">
        <v>359</v>
      </c>
      <c r="D110" s="26" t="s">
        <v>47</v>
      </c>
      <c r="E110" s="26" t="s">
        <v>47</v>
      </c>
      <c r="F110" s="26" t="s">
        <v>48</v>
      </c>
    </row>
    <row r="111" spans="1:6" x14ac:dyDescent="0.3">
      <c r="A111" s="26" t="s">
        <v>360</v>
      </c>
      <c r="B111" s="26" t="s">
        <v>361</v>
      </c>
      <c r="C111" s="26" t="s">
        <v>362</v>
      </c>
      <c r="D111" s="26" t="s">
        <v>47</v>
      </c>
      <c r="E111" s="26" t="s">
        <v>47</v>
      </c>
      <c r="F111" s="26" t="s">
        <v>48</v>
      </c>
    </row>
    <row r="112" spans="1:6" x14ac:dyDescent="0.3">
      <c r="A112" s="26" t="s">
        <v>363</v>
      </c>
      <c r="B112" s="26" t="s">
        <v>364</v>
      </c>
      <c r="C112" s="26" t="s">
        <v>365</v>
      </c>
      <c r="D112" s="26" t="s">
        <v>47</v>
      </c>
      <c r="E112" s="26" t="s">
        <v>47</v>
      </c>
      <c r="F112" s="26" t="s">
        <v>48</v>
      </c>
    </row>
    <row r="113" spans="1:6" x14ac:dyDescent="0.3">
      <c r="A113" s="26" t="s">
        <v>366</v>
      </c>
      <c r="B113" s="26" t="s">
        <v>367</v>
      </c>
      <c r="C113" s="26" t="s">
        <v>368</v>
      </c>
      <c r="D113" s="26" t="s">
        <v>47</v>
      </c>
      <c r="E113" s="26" t="s">
        <v>47</v>
      </c>
      <c r="F113" s="26" t="s">
        <v>48</v>
      </c>
    </row>
    <row r="114" spans="1:6" x14ac:dyDescent="0.3">
      <c r="A114" s="26" t="s">
        <v>369</v>
      </c>
      <c r="B114" s="26" t="s">
        <v>370</v>
      </c>
      <c r="C114" s="26" t="s">
        <v>371</v>
      </c>
      <c r="D114" s="26" t="s">
        <v>47</v>
      </c>
      <c r="E114" s="26" t="s">
        <v>47</v>
      </c>
      <c r="F114" s="26" t="s">
        <v>48</v>
      </c>
    </row>
    <row r="115" spans="1:6" x14ac:dyDescent="0.3">
      <c r="A115" s="26" t="s">
        <v>372</v>
      </c>
      <c r="B115" s="26" t="s">
        <v>373</v>
      </c>
      <c r="C115" s="26" t="s">
        <v>374</v>
      </c>
      <c r="D115" s="26" t="s">
        <v>47</v>
      </c>
      <c r="E115" s="26" t="s">
        <v>47</v>
      </c>
      <c r="F115" s="26" t="s">
        <v>48</v>
      </c>
    </row>
    <row r="116" spans="1:6" x14ac:dyDescent="0.3">
      <c r="A116" s="26" t="s">
        <v>375</v>
      </c>
      <c r="B116" s="26" t="s">
        <v>376</v>
      </c>
      <c r="C116" s="26" t="s">
        <v>377</v>
      </c>
      <c r="D116" s="26" t="s">
        <v>47</v>
      </c>
      <c r="E116" s="26" t="s">
        <v>47</v>
      </c>
      <c r="F116" s="26" t="s">
        <v>48</v>
      </c>
    </row>
    <row r="117" spans="1:6" x14ac:dyDescent="0.3">
      <c r="A117" s="26" t="s">
        <v>378</v>
      </c>
      <c r="B117" s="26" t="s">
        <v>379</v>
      </c>
      <c r="C117" s="26" t="s">
        <v>380</v>
      </c>
      <c r="D117" s="26" t="s">
        <v>47</v>
      </c>
      <c r="E117" s="26" t="s">
        <v>47</v>
      </c>
      <c r="F117" s="26" t="s">
        <v>48</v>
      </c>
    </row>
    <row r="118" spans="1:6" x14ac:dyDescent="0.3">
      <c r="A118" s="26" t="s">
        <v>381</v>
      </c>
      <c r="B118" s="26" t="s">
        <v>382</v>
      </c>
      <c r="C118" s="26" t="s">
        <v>383</v>
      </c>
      <c r="D118" s="26" t="s">
        <v>47</v>
      </c>
      <c r="E118" s="26" t="s">
        <v>47</v>
      </c>
      <c r="F118" s="26" t="s">
        <v>48</v>
      </c>
    </row>
    <row r="119" spans="1:6" x14ac:dyDescent="0.3">
      <c r="A119" s="26" t="s">
        <v>384</v>
      </c>
      <c r="B119" s="26" t="s">
        <v>385</v>
      </c>
      <c r="C119" s="26" t="s">
        <v>386</v>
      </c>
      <c r="D119" s="26" t="s">
        <v>47</v>
      </c>
      <c r="E119" s="26" t="s">
        <v>47</v>
      </c>
      <c r="F119" s="26" t="s">
        <v>48</v>
      </c>
    </row>
    <row r="120" spans="1:6" x14ac:dyDescent="0.3">
      <c r="A120" s="26" t="s">
        <v>387</v>
      </c>
      <c r="B120" s="26" t="s">
        <v>388</v>
      </c>
      <c r="C120" s="26" t="s">
        <v>389</v>
      </c>
      <c r="D120" s="26" t="s">
        <v>47</v>
      </c>
      <c r="E120" s="26" t="s">
        <v>47</v>
      </c>
      <c r="F120" s="26" t="s">
        <v>48</v>
      </c>
    </row>
    <row r="121" spans="1:6" x14ac:dyDescent="0.3">
      <c r="A121" s="26" t="s">
        <v>390</v>
      </c>
      <c r="B121" s="26" t="s">
        <v>391</v>
      </c>
      <c r="C121" s="26" t="s">
        <v>392</v>
      </c>
      <c r="D121" s="26" t="s">
        <v>47</v>
      </c>
      <c r="E121" s="26" t="s">
        <v>47</v>
      </c>
      <c r="F121" s="26" t="s">
        <v>48</v>
      </c>
    </row>
    <row r="122" spans="1:6" x14ac:dyDescent="0.3">
      <c r="A122" s="26" t="s">
        <v>393</v>
      </c>
      <c r="B122" s="26" t="s">
        <v>394</v>
      </c>
      <c r="C122" s="26" t="s">
        <v>395</v>
      </c>
      <c r="D122" s="26" t="s">
        <v>47</v>
      </c>
      <c r="E122" s="26" t="s">
        <v>47</v>
      </c>
      <c r="F122" s="26" t="s">
        <v>48</v>
      </c>
    </row>
    <row r="123" spans="1:6" x14ac:dyDescent="0.3">
      <c r="A123" s="26" t="s">
        <v>396</v>
      </c>
      <c r="B123" s="26" t="s">
        <v>397</v>
      </c>
      <c r="C123" s="26" t="s">
        <v>398</v>
      </c>
      <c r="D123" s="26" t="s">
        <v>47</v>
      </c>
      <c r="E123" s="26" t="s">
        <v>47</v>
      </c>
      <c r="F123" s="26" t="s">
        <v>48</v>
      </c>
    </row>
    <row r="124" spans="1:6" x14ac:dyDescent="0.3">
      <c r="A124" s="26" t="s">
        <v>399</v>
      </c>
      <c r="B124" s="26" t="s">
        <v>400</v>
      </c>
      <c r="C124" s="26" t="s">
        <v>401</v>
      </c>
      <c r="D124" s="26" t="s">
        <v>47</v>
      </c>
      <c r="E124" s="26" t="s">
        <v>47</v>
      </c>
      <c r="F124" s="26" t="s">
        <v>48</v>
      </c>
    </row>
    <row r="125" spans="1:6" x14ac:dyDescent="0.3">
      <c r="A125" s="26" t="s">
        <v>402</v>
      </c>
      <c r="B125" s="26" t="s">
        <v>403</v>
      </c>
      <c r="C125" s="26" t="s">
        <v>404</v>
      </c>
      <c r="D125" s="26" t="s">
        <v>47</v>
      </c>
      <c r="E125" s="26" t="s">
        <v>47</v>
      </c>
      <c r="F125" s="26" t="s">
        <v>48</v>
      </c>
    </row>
    <row r="126" spans="1:6" x14ac:dyDescent="0.3">
      <c r="A126" s="26" t="s">
        <v>405</v>
      </c>
      <c r="B126" s="26" t="s">
        <v>406</v>
      </c>
      <c r="C126" s="26" t="s">
        <v>407</v>
      </c>
      <c r="D126" s="26" t="s">
        <v>47</v>
      </c>
      <c r="E126" s="26" t="s">
        <v>47</v>
      </c>
      <c r="F126" s="26" t="s">
        <v>48</v>
      </c>
    </row>
    <row r="127" spans="1:6" x14ac:dyDescent="0.3">
      <c r="A127" s="26" t="s">
        <v>408</v>
      </c>
      <c r="B127" s="26" t="s">
        <v>409</v>
      </c>
      <c r="C127" s="26" t="s">
        <v>410</v>
      </c>
      <c r="D127" s="26" t="s">
        <v>47</v>
      </c>
      <c r="E127" s="26" t="s">
        <v>47</v>
      </c>
      <c r="F127" s="26" t="s">
        <v>48</v>
      </c>
    </row>
    <row r="128" spans="1:6" x14ac:dyDescent="0.3">
      <c r="A128" s="26" t="s">
        <v>411</v>
      </c>
      <c r="B128" s="26" t="s">
        <v>412</v>
      </c>
      <c r="C128" s="26" t="s">
        <v>413</v>
      </c>
      <c r="D128" s="26" t="s">
        <v>47</v>
      </c>
      <c r="E128" s="26" t="s">
        <v>47</v>
      </c>
      <c r="F128" s="26" t="s">
        <v>48</v>
      </c>
    </row>
    <row r="129" spans="1:6" x14ac:dyDescent="0.3">
      <c r="A129" s="26" t="s">
        <v>414</v>
      </c>
      <c r="B129" s="26" t="s">
        <v>415</v>
      </c>
      <c r="C129" s="26" t="s">
        <v>416</v>
      </c>
      <c r="D129" s="26" t="s">
        <v>47</v>
      </c>
      <c r="E129" s="26" t="s">
        <v>47</v>
      </c>
      <c r="F129" s="26" t="s">
        <v>48</v>
      </c>
    </row>
    <row r="130" spans="1:6" x14ac:dyDescent="0.3">
      <c r="A130" s="26" t="s">
        <v>417</v>
      </c>
      <c r="B130" s="26" t="s">
        <v>418</v>
      </c>
      <c r="C130" s="26" t="s">
        <v>419</v>
      </c>
      <c r="D130" s="26" t="s">
        <v>47</v>
      </c>
      <c r="E130" s="26" t="s">
        <v>47</v>
      </c>
      <c r="F130" s="26" t="s">
        <v>48</v>
      </c>
    </row>
    <row r="131" spans="1:6" x14ac:dyDescent="0.3">
      <c r="A131" s="26" t="s">
        <v>420</v>
      </c>
      <c r="B131" s="26" t="s">
        <v>421</v>
      </c>
      <c r="C131" s="26" t="s">
        <v>422</v>
      </c>
      <c r="D131" s="26" t="s">
        <v>47</v>
      </c>
      <c r="E131" s="26" t="s">
        <v>47</v>
      </c>
      <c r="F131" s="26" t="s">
        <v>48</v>
      </c>
    </row>
    <row r="132" spans="1:6" x14ac:dyDescent="0.3">
      <c r="A132" s="26" t="s">
        <v>423</v>
      </c>
      <c r="B132" s="26" t="s">
        <v>424</v>
      </c>
      <c r="C132" s="26" t="s">
        <v>425</v>
      </c>
      <c r="D132" s="26" t="s">
        <v>47</v>
      </c>
      <c r="E132" s="26" t="s">
        <v>47</v>
      </c>
      <c r="F132" s="26" t="s">
        <v>48</v>
      </c>
    </row>
    <row r="133" spans="1:6" x14ac:dyDescent="0.3">
      <c r="A133" s="26" t="s">
        <v>426</v>
      </c>
      <c r="B133" s="26" t="s">
        <v>424</v>
      </c>
      <c r="C133" s="26" t="s">
        <v>427</v>
      </c>
      <c r="D133" s="26" t="s">
        <v>47</v>
      </c>
      <c r="E133" s="26" t="s">
        <v>47</v>
      </c>
      <c r="F133" s="26" t="s">
        <v>48</v>
      </c>
    </row>
    <row r="134" spans="1:6" x14ac:dyDescent="0.3">
      <c r="A134" s="26" t="s">
        <v>428</v>
      </c>
      <c r="B134" s="26" t="s">
        <v>429</v>
      </c>
      <c r="C134" s="26" t="s">
        <v>430</v>
      </c>
      <c r="D134" s="26" t="s">
        <v>47</v>
      </c>
      <c r="E134" s="26" t="s">
        <v>47</v>
      </c>
      <c r="F134" s="26" t="s">
        <v>48</v>
      </c>
    </row>
    <row r="135" spans="1:6" x14ac:dyDescent="0.3">
      <c r="A135" s="26" t="s">
        <v>431</v>
      </c>
      <c r="B135" s="26" t="s">
        <v>432</v>
      </c>
      <c r="C135" s="26" t="s">
        <v>433</v>
      </c>
      <c r="D135" s="26" t="s">
        <v>47</v>
      </c>
      <c r="E135" s="26" t="s">
        <v>47</v>
      </c>
      <c r="F135" s="26" t="s">
        <v>48</v>
      </c>
    </row>
    <row r="136" spans="1:6" x14ac:dyDescent="0.3">
      <c r="A136" s="26" t="s">
        <v>434</v>
      </c>
      <c r="B136" s="26" t="s">
        <v>435</v>
      </c>
      <c r="C136" s="26" t="s">
        <v>436</v>
      </c>
      <c r="D136" s="26" t="s">
        <v>47</v>
      </c>
      <c r="E136" s="26" t="s">
        <v>47</v>
      </c>
      <c r="F136" s="26" t="s">
        <v>48</v>
      </c>
    </row>
    <row r="137" spans="1:6" x14ac:dyDescent="0.3">
      <c r="A137" s="26" t="s">
        <v>437</v>
      </c>
      <c r="B137" s="26" t="s">
        <v>424</v>
      </c>
      <c r="C137" s="26" t="s">
        <v>438</v>
      </c>
      <c r="D137" s="26" t="s">
        <v>47</v>
      </c>
      <c r="E137" s="26" t="s">
        <v>47</v>
      </c>
      <c r="F137" s="26" t="s">
        <v>48</v>
      </c>
    </row>
    <row r="138" spans="1:6" x14ac:dyDescent="0.3">
      <c r="A138" s="26" t="s">
        <v>439</v>
      </c>
      <c r="B138" s="26" t="s">
        <v>424</v>
      </c>
      <c r="C138" s="26" t="s">
        <v>440</v>
      </c>
      <c r="D138" s="26" t="s">
        <v>47</v>
      </c>
      <c r="E138" s="26" t="s">
        <v>47</v>
      </c>
      <c r="F138" s="26" t="s">
        <v>48</v>
      </c>
    </row>
    <row r="139" spans="1:6" x14ac:dyDescent="0.3">
      <c r="A139" s="26" t="s">
        <v>441</v>
      </c>
      <c r="B139" s="26" t="s">
        <v>424</v>
      </c>
      <c r="C139" s="26" t="s">
        <v>442</v>
      </c>
      <c r="D139" s="26" t="s">
        <v>47</v>
      </c>
      <c r="E139" s="26" t="s">
        <v>47</v>
      </c>
      <c r="F139" s="26" t="s">
        <v>48</v>
      </c>
    </row>
    <row r="140" spans="1:6" x14ac:dyDescent="0.3">
      <c r="A140" s="26" t="s">
        <v>443</v>
      </c>
      <c r="B140" s="26" t="s">
        <v>444</v>
      </c>
      <c r="C140" s="26" t="s">
        <v>445</v>
      </c>
      <c r="D140" s="26" t="s">
        <v>47</v>
      </c>
      <c r="E140" s="26" t="s">
        <v>47</v>
      </c>
      <c r="F140" s="26" t="s">
        <v>48</v>
      </c>
    </row>
    <row r="141" spans="1:6" x14ac:dyDescent="0.3">
      <c r="A141" s="26" t="s">
        <v>446</v>
      </c>
      <c r="B141" s="26" t="s">
        <v>447</v>
      </c>
      <c r="C141" s="26" t="s">
        <v>448</v>
      </c>
      <c r="D141" s="26" t="s">
        <v>47</v>
      </c>
      <c r="E141" s="26" t="s">
        <v>47</v>
      </c>
      <c r="F141" s="26" t="s">
        <v>48</v>
      </c>
    </row>
    <row r="142" spans="1:6" x14ac:dyDescent="0.3">
      <c r="A142" s="26" t="s">
        <v>449</v>
      </c>
      <c r="B142" s="26" t="s">
        <v>450</v>
      </c>
      <c r="C142" s="26" t="s">
        <v>451</v>
      </c>
      <c r="D142" s="26" t="s">
        <v>248</v>
      </c>
      <c r="E142" s="26" t="s">
        <v>120</v>
      </c>
      <c r="F142" s="26" t="s">
        <v>121</v>
      </c>
    </row>
    <row r="143" spans="1:6" x14ac:dyDescent="0.3">
      <c r="A143" s="26" t="s">
        <v>452</v>
      </c>
      <c r="B143" s="26" t="s">
        <v>453</v>
      </c>
      <c r="C143" s="26" t="s">
        <v>454</v>
      </c>
      <c r="D143" s="26" t="s">
        <v>47</v>
      </c>
      <c r="E143" s="26" t="s">
        <v>47</v>
      </c>
      <c r="F143" s="26" t="s">
        <v>48</v>
      </c>
    </row>
    <row r="144" spans="1:6" x14ac:dyDescent="0.3">
      <c r="A144" s="26" t="s">
        <v>455</v>
      </c>
      <c r="B144" s="26" t="s">
        <v>456</v>
      </c>
      <c r="C144" s="26" t="s">
        <v>457</v>
      </c>
      <c r="D144" s="26" t="s">
        <v>47</v>
      </c>
      <c r="E144" s="26" t="s">
        <v>47</v>
      </c>
      <c r="F144" s="26" t="s">
        <v>48</v>
      </c>
    </row>
    <row r="145" spans="1:6" x14ac:dyDescent="0.3">
      <c r="A145" s="26" t="s">
        <v>458</v>
      </c>
      <c r="B145" s="26" t="s">
        <v>424</v>
      </c>
      <c r="C145" s="26" t="s">
        <v>459</v>
      </c>
      <c r="D145" s="26" t="s">
        <v>47</v>
      </c>
      <c r="E145" s="26" t="s">
        <v>47</v>
      </c>
      <c r="F145" s="26" t="s">
        <v>48</v>
      </c>
    </row>
    <row r="146" spans="1:6" x14ac:dyDescent="0.3">
      <c r="A146" s="26" t="s">
        <v>460</v>
      </c>
      <c r="B146" s="26" t="s">
        <v>424</v>
      </c>
      <c r="C146" s="26" t="s">
        <v>461</v>
      </c>
      <c r="D146" s="26" t="s">
        <v>47</v>
      </c>
      <c r="E146" s="26" t="s">
        <v>47</v>
      </c>
      <c r="F146" s="26" t="s">
        <v>48</v>
      </c>
    </row>
    <row r="147" spans="1:6" x14ac:dyDescent="0.3">
      <c r="A147" s="26" t="s">
        <v>462</v>
      </c>
      <c r="B147" s="26" t="s">
        <v>463</v>
      </c>
      <c r="C147" s="26" t="s">
        <v>464</v>
      </c>
      <c r="D147" s="26" t="s">
        <v>47</v>
      </c>
      <c r="E147" s="26" t="s">
        <v>47</v>
      </c>
      <c r="F147" s="26" t="s">
        <v>48</v>
      </c>
    </row>
    <row r="148" spans="1:6" x14ac:dyDescent="0.3">
      <c r="A148" s="26" t="s">
        <v>465</v>
      </c>
      <c r="B148" s="26" t="s">
        <v>466</v>
      </c>
      <c r="C148" s="26" t="s">
        <v>467</v>
      </c>
      <c r="D148" s="26" t="s">
        <v>47</v>
      </c>
      <c r="E148" s="26" t="s">
        <v>47</v>
      </c>
      <c r="F148" s="26" t="s">
        <v>48</v>
      </c>
    </row>
    <row r="149" spans="1:6" x14ac:dyDescent="0.3">
      <c r="A149" s="26" t="s">
        <v>468</v>
      </c>
      <c r="B149" s="26" t="s">
        <v>469</v>
      </c>
      <c r="C149" s="26" t="s">
        <v>470</v>
      </c>
      <c r="D149" s="26" t="s">
        <v>47</v>
      </c>
      <c r="E149" s="26" t="s">
        <v>47</v>
      </c>
      <c r="F149" s="26" t="s">
        <v>48</v>
      </c>
    </row>
    <row r="150" spans="1:6" x14ac:dyDescent="0.3">
      <c r="A150" s="26" t="s">
        <v>471</v>
      </c>
      <c r="B150" s="26" t="s">
        <v>472</v>
      </c>
      <c r="C150" s="26" t="s">
        <v>473</v>
      </c>
      <c r="D150" s="26" t="s">
        <v>120</v>
      </c>
      <c r="E150" s="26" t="s">
        <v>120</v>
      </c>
      <c r="F150" s="26" t="s">
        <v>121</v>
      </c>
    </row>
    <row r="151" spans="1:6" x14ac:dyDescent="0.3">
      <c r="A151" s="26" t="s">
        <v>474</v>
      </c>
      <c r="B151" s="26" t="s">
        <v>475</v>
      </c>
      <c r="C151" s="26" t="s">
        <v>476</v>
      </c>
      <c r="D151" s="26" t="s">
        <v>47</v>
      </c>
      <c r="E151" s="26" t="s">
        <v>47</v>
      </c>
      <c r="F151" s="26" t="s">
        <v>48</v>
      </c>
    </row>
    <row r="152" spans="1:6" x14ac:dyDescent="0.3">
      <c r="A152" s="26" t="s">
        <v>477</v>
      </c>
      <c r="B152" s="26" t="s">
        <v>478</v>
      </c>
      <c r="C152" s="26" t="s">
        <v>479</v>
      </c>
      <c r="D152" s="26" t="s">
        <v>47</v>
      </c>
      <c r="E152" s="26" t="s">
        <v>47</v>
      </c>
      <c r="F152" s="26" t="s">
        <v>48</v>
      </c>
    </row>
    <row r="153" spans="1:6" x14ac:dyDescent="0.3">
      <c r="A153" s="26" t="s">
        <v>480</v>
      </c>
      <c r="B153" s="26" t="s">
        <v>481</v>
      </c>
      <c r="C153" s="26" t="s">
        <v>482</v>
      </c>
      <c r="D153" s="26" t="s">
        <v>47</v>
      </c>
      <c r="E153" s="26" t="s">
        <v>47</v>
      </c>
      <c r="F153" s="26" t="s">
        <v>48</v>
      </c>
    </row>
    <row r="154" spans="1:6" x14ac:dyDescent="0.3">
      <c r="A154" s="26" t="s">
        <v>483</v>
      </c>
      <c r="B154" s="26" t="s">
        <v>484</v>
      </c>
      <c r="C154" s="26" t="s">
        <v>485</v>
      </c>
      <c r="D154" s="26" t="s">
        <v>47</v>
      </c>
      <c r="E154" s="26" t="s">
        <v>47</v>
      </c>
      <c r="F154" s="26" t="s">
        <v>48</v>
      </c>
    </row>
    <row r="155" spans="1:6" x14ac:dyDescent="0.3">
      <c r="A155" s="26" t="s">
        <v>486</v>
      </c>
      <c r="B155" s="26" t="s">
        <v>487</v>
      </c>
      <c r="C155" s="26" t="s">
        <v>485</v>
      </c>
      <c r="D155" s="26" t="s">
        <v>47</v>
      </c>
      <c r="E155" s="26" t="s">
        <v>47</v>
      </c>
      <c r="F155" s="26" t="s">
        <v>48</v>
      </c>
    </row>
    <row r="156" spans="1:6" x14ac:dyDescent="0.3">
      <c r="A156" s="26" t="s">
        <v>488</v>
      </c>
      <c r="B156" s="26" t="s">
        <v>489</v>
      </c>
      <c r="C156" s="26" t="s">
        <v>490</v>
      </c>
      <c r="D156" s="26" t="s">
        <v>47</v>
      </c>
      <c r="E156" s="26" t="s">
        <v>47</v>
      </c>
      <c r="F156" s="26" t="s">
        <v>48</v>
      </c>
    </row>
    <row r="157" spans="1:6" x14ac:dyDescent="0.3">
      <c r="A157" s="26" t="s">
        <v>491</v>
      </c>
      <c r="B157" s="26" t="s">
        <v>492</v>
      </c>
      <c r="C157" s="26" t="s">
        <v>493</v>
      </c>
      <c r="D157" s="26" t="s">
        <v>47</v>
      </c>
      <c r="E157" s="26" t="s">
        <v>47</v>
      </c>
      <c r="F157" s="26" t="s">
        <v>48</v>
      </c>
    </row>
    <row r="158" spans="1:6" x14ac:dyDescent="0.3">
      <c r="A158" s="26" t="s">
        <v>494</v>
      </c>
      <c r="B158" s="26" t="s">
        <v>495</v>
      </c>
      <c r="C158" s="26" t="s">
        <v>496</v>
      </c>
      <c r="D158" s="26" t="s">
        <v>47</v>
      </c>
      <c r="E158" s="26" t="s">
        <v>47</v>
      </c>
      <c r="F158" s="26" t="s">
        <v>48</v>
      </c>
    </row>
    <row r="159" spans="1:6" x14ac:dyDescent="0.3">
      <c r="A159" s="26" t="s">
        <v>497</v>
      </c>
      <c r="B159" s="26" t="s">
        <v>498</v>
      </c>
      <c r="C159" s="26" t="s">
        <v>499</v>
      </c>
      <c r="D159" s="26" t="s">
        <v>47</v>
      </c>
      <c r="E159" s="26" t="s">
        <v>47</v>
      </c>
      <c r="F159" s="26" t="s">
        <v>48</v>
      </c>
    </row>
    <row r="160" spans="1:6" x14ac:dyDescent="0.3">
      <c r="A160" s="26" t="s">
        <v>500</v>
      </c>
      <c r="B160" s="26" t="s">
        <v>501</v>
      </c>
      <c r="C160" s="26" t="s">
        <v>502</v>
      </c>
      <c r="D160" s="26" t="s">
        <v>47</v>
      </c>
      <c r="E160" s="26" t="s">
        <v>47</v>
      </c>
      <c r="F160" s="26" t="s">
        <v>48</v>
      </c>
    </row>
    <row r="161" spans="1:6" x14ac:dyDescent="0.3">
      <c r="A161" s="26" t="s">
        <v>503</v>
      </c>
      <c r="B161" s="26" t="s">
        <v>504</v>
      </c>
      <c r="C161" s="26" t="s">
        <v>505</v>
      </c>
      <c r="D161" s="26" t="s">
        <v>47</v>
      </c>
      <c r="E161" s="26" t="s">
        <v>47</v>
      </c>
      <c r="F161" s="26" t="s">
        <v>48</v>
      </c>
    </row>
    <row r="162" spans="1:6" x14ac:dyDescent="0.3">
      <c r="A162" s="26" t="s">
        <v>506</v>
      </c>
      <c r="B162" s="26" t="s">
        <v>507</v>
      </c>
      <c r="C162" s="26" t="s">
        <v>508</v>
      </c>
      <c r="D162" s="26" t="s">
        <v>47</v>
      </c>
      <c r="E162" s="26" t="s">
        <v>47</v>
      </c>
      <c r="F162" s="26" t="s">
        <v>48</v>
      </c>
    </row>
    <row r="163" spans="1:6" x14ac:dyDescent="0.3">
      <c r="A163" s="26" t="s">
        <v>509</v>
      </c>
      <c r="B163" s="26" t="s">
        <v>510</v>
      </c>
      <c r="C163" s="26" t="s">
        <v>511</v>
      </c>
      <c r="D163" s="26" t="s">
        <v>47</v>
      </c>
      <c r="E163" s="26" t="s">
        <v>47</v>
      </c>
      <c r="F163" s="26" t="s">
        <v>48</v>
      </c>
    </row>
    <row r="164" spans="1:6" x14ac:dyDescent="0.3">
      <c r="A164" s="26" t="s">
        <v>512</v>
      </c>
      <c r="B164" s="26" t="s">
        <v>513</v>
      </c>
      <c r="C164" s="26" t="s">
        <v>514</v>
      </c>
      <c r="D164" s="26" t="s">
        <v>47</v>
      </c>
      <c r="E164" s="26" t="s">
        <v>47</v>
      </c>
      <c r="F164" s="26" t="s">
        <v>48</v>
      </c>
    </row>
    <row r="165" spans="1:6" x14ac:dyDescent="0.3">
      <c r="A165" s="26" t="s">
        <v>515</v>
      </c>
      <c r="B165" s="26" t="s">
        <v>516</v>
      </c>
      <c r="C165" s="26" t="s">
        <v>517</v>
      </c>
      <c r="D165" s="26" t="s">
        <v>47</v>
      </c>
      <c r="E165" s="26" t="s">
        <v>47</v>
      </c>
      <c r="F165" s="26" t="s">
        <v>48</v>
      </c>
    </row>
    <row r="166" spans="1:6" x14ac:dyDescent="0.3">
      <c r="A166" s="26" t="s">
        <v>518</v>
      </c>
      <c r="B166" s="26" t="s">
        <v>519</v>
      </c>
      <c r="C166" s="26" t="s">
        <v>520</v>
      </c>
      <c r="D166" s="26" t="s">
        <v>47</v>
      </c>
      <c r="E166" s="26" t="s">
        <v>47</v>
      </c>
      <c r="F166" s="26" t="s">
        <v>48</v>
      </c>
    </row>
    <row r="167" spans="1:6" x14ac:dyDescent="0.3">
      <c r="A167" s="26" t="s">
        <v>521</v>
      </c>
      <c r="B167" s="26" t="s">
        <v>522</v>
      </c>
      <c r="C167" s="26" t="s">
        <v>124</v>
      </c>
      <c r="D167" s="26" t="s">
        <v>120</v>
      </c>
      <c r="E167" s="26" t="s">
        <v>120</v>
      </c>
      <c r="F167" s="26" t="s">
        <v>121</v>
      </c>
    </row>
    <row r="168" spans="1:6" x14ac:dyDescent="0.3">
      <c r="A168" s="26" t="s">
        <v>523</v>
      </c>
      <c r="B168" s="26" t="s">
        <v>524</v>
      </c>
      <c r="C168" s="26" t="s">
        <v>525</v>
      </c>
      <c r="D168" s="26" t="s">
        <v>47</v>
      </c>
      <c r="E168" s="26" t="s">
        <v>47</v>
      </c>
      <c r="F168" s="26" t="s">
        <v>48</v>
      </c>
    </row>
    <row r="169" spans="1:6" x14ac:dyDescent="0.3">
      <c r="A169" s="26" t="s">
        <v>526</v>
      </c>
      <c r="B169" s="26" t="s">
        <v>527</v>
      </c>
      <c r="C169" s="26" t="s">
        <v>528</v>
      </c>
      <c r="D169" s="26" t="s">
        <v>47</v>
      </c>
      <c r="E169" s="26" t="s">
        <v>47</v>
      </c>
      <c r="F169" s="26" t="s">
        <v>48</v>
      </c>
    </row>
    <row r="170" spans="1:6" x14ac:dyDescent="0.3">
      <c r="A170" s="26" t="s">
        <v>529</v>
      </c>
      <c r="B170" s="26" t="s">
        <v>530</v>
      </c>
      <c r="C170" s="26" t="s">
        <v>531</v>
      </c>
      <c r="D170" s="26" t="s">
        <v>47</v>
      </c>
      <c r="E170" s="26" t="s">
        <v>47</v>
      </c>
      <c r="F170" s="26" t="s">
        <v>48</v>
      </c>
    </row>
    <row r="171" spans="1:6" x14ac:dyDescent="0.3">
      <c r="A171" s="26" t="s">
        <v>532</v>
      </c>
      <c r="B171" s="26" t="s">
        <v>533</v>
      </c>
      <c r="C171" s="26" t="s">
        <v>534</v>
      </c>
      <c r="D171" s="26" t="s">
        <v>47</v>
      </c>
      <c r="E171" s="26" t="s">
        <v>47</v>
      </c>
      <c r="F171" s="26" t="s">
        <v>48</v>
      </c>
    </row>
    <row r="172" spans="1:6" x14ac:dyDescent="0.3">
      <c r="A172" s="26" t="s">
        <v>535</v>
      </c>
      <c r="B172" s="26" t="s">
        <v>536</v>
      </c>
      <c r="C172" s="26" t="s">
        <v>537</v>
      </c>
      <c r="D172" s="26" t="s">
        <v>47</v>
      </c>
      <c r="E172" s="26" t="s">
        <v>47</v>
      </c>
      <c r="F172" s="26" t="s">
        <v>48</v>
      </c>
    </row>
    <row r="173" spans="1:6" x14ac:dyDescent="0.3">
      <c r="A173" s="26" t="s">
        <v>538</v>
      </c>
      <c r="B173" s="26" t="s">
        <v>539</v>
      </c>
      <c r="C173" s="26" t="s">
        <v>540</v>
      </c>
      <c r="D173" s="26" t="s">
        <v>47</v>
      </c>
      <c r="E173" s="26" t="s">
        <v>47</v>
      </c>
      <c r="F173" s="26" t="s">
        <v>48</v>
      </c>
    </row>
    <row r="174" spans="1:6" x14ac:dyDescent="0.3">
      <c r="A174" s="26" t="s">
        <v>541</v>
      </c>
      <c r="B174" s="26" t="s">
        <v>542</v>
      </c>
      <c r="C174" s="26" t="s">
        <v>543</v>
      </c>
      <c r="D174" s="26" t="s">
        <v>47</v>
      </c>
      <c r="E174" s="26" t="s">
        <v>47</v>
      </c>
      <c r="F174" s="26" t="s">
        <v>48</v>
      </c>
    </row>
    <row r="175" spans="1:6" x14ac:dyDescent="0.3">
      <c r="A175" s="26" t="s">
        <v>544</v>
      </c>
      <c r="B175" s="26" t="s">
        <v>545</v>
      </c>
      <c r="C175" s="26" t="s">
        <v>546</v>
      </c>
      <c r="D175" s="26" t="s">
        <v>47</v>
      </c>
      <c r="E175" s="26" t="s">
        <v>47</v>
      </c>
      <c r="F175" s="26" t="s">
        <v>48</v>
      </c>
    </row>
    <row r="176" spans="1:6" x14ac:dyDescent="0.3">
      <c r="A176" s="26" t="s">
        <v>547</v>
      </c>
      <c r="B176" s="26" t="s">
        <v>548</v>
      </c>
      <c r="C176" s="26" t="s">
        <v>549</v>
      </c>
      <c r="D176" s="26" t="s">
        <v>47</v>
      </c>
      <c r="E176" s="26" t="s">
        <v>47</v>
      </c>
      <c r="F176" s="26" t="s">
        <v>48</v>
      </c>
    </row>
    <row r="177" spans="1:6" x14ac:dyDescent="0.3">
      <c r="A177" s="26" t="s">
        <v>550</v>
      </c>
      <c r="B177" s="26" t="s">
        <v>551</v>
      </c>
      <c r="C177" s="26" t="s">
        <v>552</v>
      </c>
      <c r="D177" s="26" t="s">
        <v>47</v>
      </c>
      <c r="E177" s="26" t="s">
        <v>47</v>
      </c>
      <c r="F177" s="26" t="s">
        <v>48</v>
      </c>
    </row>
    <row r="178" spans="1:6" x14ac:dyDescent="0.3">
      <c r="A178" s="26" t="s">
        <v>553</v>
      </c>
      <c r="B178" s="26" t="s">
        <v>554</v>
      </c>
      <c r="C178" s="26" t="s">
        <v>555</v>
      </c>
      <c r="D178" s="26" t="s">
        <v>47</v>
      </c>
      <c r="E178" s="26" t="s">
        <v>47</v>
      </c>
      <c r="F178" s="26" t="s">
        <v>48</v>
      </c>
    </row>
    <row r="179" spans="1:6" x14ac:dyDescent="0.3">
      <c r="A179" s="26" t="s">
        <v>556</v>
      </c>
      <c r="B179" s="26" t="s">
        <v>557</v>
      </c>
      <c r="C179" s="26" t="s">
        <v>558</v>
      </c>
      <c r="D179" s="26" t="s">
        <v>120</v>
      </c>
      <c r="E179" s="26" t="s">
        <v>120</v>
      </c>
      <c r="F179" s="26" t="s">
        <v>121</v>
      </c>
    </row>
    <row r="180" spans="1:6" x14ac:dyDescent="0.3">
      <c r="A180" s="26" t="s">
        <v>559</v>
      </c>
      <c r="B180" s="26" t="s">
        <v>560</v>
      </c>
      <c r="C180" s="26" t="s">
        <v>561</v>
      </c>
      <c r="D180" s="26" t="s">
        <v>47</v>
      </c>
      <c r="E180" s="26" t="s">
        <v>47</v>
      </c>
      <c r="F180" s="26" t="s">
        <v>48</v>
      </c>
    </row>
    <row r="181" spans="1:6" x14ac:dyDescent="0.3">
      <c r="A181" s="26" t="s">
        <v>562</v>
      </c>
      <c r="B181" s="26" t="s">
        <v>563</v>
      </c>
      <c r="C181" s="26" t="s">
        <v>564</v>
      </c>
      <c r="D181" s="26" t="s">
        <v>47</v>
      </c>
      <c r="E181" s="26" t="s">
        <v>47</v>
      </c>
      <c r="F181" s="26" t="s">
        <v>48</v>
      </c>
    </row>
    <row r="182" spans="1:6" x14ac:dyDescent="0.3">
      <c r="A182" s="26" t="s">
        <v>565</v>
      </c>
      <c r="B182" s="26" t="s">
        <v>566</v>
      </c>
      <c r="C182" s="26" t="s">
        <v>567</v>
      </c>
      <c r="D182" s="26" t="s">
        <v>47</v>
      </c>
      <c r="E182" s="26" t="s">
        <v>47</v>
      </c>
      <c r="F182" s="26" t="s">
        <v>48</v>
      </c>
    </row>
    <row r="183" spans="1:6" x14ac:dyDescent="0.3">
      <c r="A183" s="26" t="s">
        <v>568</v>
      </c>
      <c r="B183" s="26" t="s">
        <v>569</v>
      </c>
      <c r="C183" s="26" t="s">
        <v>570</v>
      </c>
      <c r="D183" s="26" t="s">
        <v>47</v>
      </c>
      <c r="E183" s="26" t="s">
        <v>47</v>
      </c>
      <c r="F183" s="26" t="s">
        <v>48</v>
      </c>
    </row>
    <row r="184" spans="1:6" x14ac:dyDescent="0.3">
      <c r="A184" s="26" t="s">
        <v>571</v>
      </c>
      <c r="B184" s="26" t="s">
        <v>572</v>
      </c>
      <c r="C184" s="26" t="s">
        <v>573</v>
      </c>
      <c r="D184" s="26" t="s">
        <v>47</v>
      </c>
      <c r="E184" s="26" t="s">
        <v>47</v>
      </c>
      <c r="F184" s="26" t="s">
        <v>48</v>
      </c>
    </row>
    <row r="185" spans="1:6" x14ac:dyDescent="0.3">
      <c r="A185" s="26" t="s">
        <v>574</v>
      </c>
      <c r="B185" s="26" t="s">
        <v>575</v>
      </c>
      <c r="C185" s="26" t="s">
        <v>576</v>
      </c>
      <c r="D185" s="26" t="s">
        <v>47</v>
      </c>
      <c r="E185" s="26" t="s">
        <v>47</v>
      </c>
      <c r="F185" s="26" t="s">
        <v>48</v>
      </c>
    </row>
    <row r="186" spans="1:6" x14ac:dyDescent="0.3">
      <c r="A186" s="26" t="s">
        <v>577</v>
      </c>
      <c r="B186" s="26" t="s">
        <v>578</v>
      </c>
      <c r="C186" s="26" t="s">
        <v>579</v>
      </c>
      <c r="D186" s="26" t="s">
        <v>47</v>
      </c>
      <c r="E186" s="26" t="s">
        <v>47</v>
      </c>
      <c r="F186" s="26" t="s">
        <v>48</v>
      </c>
    </row>
    <row r="187" spans="1:6" x14ac:dyDescent="0.3">
      <c r="A187" s="26" t="s">
        <v>580</v>
      </c>
      <c r="B187" s="26" t="s">
        <v>581</v>
      </c>
      <c r="C187" s="26" t="s">
        <v>582</v>
      </c>
      <c r="D187" s="26" t="s">
        <v>47</v>
      </c>
      <c r="E187" s="26" t="s">
        <v>47</v>
      </c>
      <c r="F187" s="26" t="s">
        <v>48</v>
      </c>
    </row>
    <row r="188" spans="1:6" x14ac:dyDescent="0.3">
      <c r="A188" s="26" t="s">
        <v>583</v>
      </c>
      <c r="B188" s="26" t="s">
        <v>584</v>
      </c>
      <c r="C188" s="26" t="s">
        <v>585</v>
      </c>
      <c r="D188" s="26" t="s">
        <v>47</v>
      </c>
      <c r="E188" s="26" t="s">
        <v>47</v>
      </c>
      <c r="F188" s="26" t="s">
        <v>48</v>
      </c>
    </row>
    <row r="189" spans="1:6" x14ac:dyDescent="0.3">
      <c r="A189" s="26" t="s">
        <v>586</v>
      </c>
      <c r="B189" s="26" t="s">
        <v>587</v>
      </c>
      <c r="C189" s="26" t="s">
        <v>588</v>
      </c>
      <c r="D189" s="26" t="s">
        <v>47</v>
      </c>
      <c r="E189" s="26" t="s">
        <v>47</v>
      </c>
      <c r="F189" s="26" t="s">
        <v>48</v>
      </c>
    </row>
    <row r="190" spans="1:6" x14ac:dyDescent="0.3">
      <c r="A190" s="26" t="s">
        <v>589</v>
      </c>
      <c r="B190" s="26" t="s">
        <v>590</v>
      </c>
      <c r="C190" s="26" t="s">
        <v>591</v>
      </c>
      <c r="D190" s="26" t="s">
        <v>47</v>
      </c>
      <c r="E190" s="26" t="s">
        <v>47</v>
      </c>
      <c r="F190" s="26" t="s">
        <v>48</v>
      </c>
    </row>
    <row r="191" spans="1:6" x14ac:dyDescent="0.3">
      <c r="A191" s="26" t="s">
        <v>592</v>
      </c>
      <c r="B191" s="26" t="s">
        <v>593</v>
      </c>
      <c r="C191" s="26" t="s">
        <v>594</v>
      </c>
      <c r="D191" s="26" t="s">
        <v>47</v>
      </c>
      <c r="E191" s="26" t="s">
        <v>47</v>
      </c>
      <c r="F191" s="26" t="s">
        <v>48</v>
      </c>
    </row>
    <row r="192" spans="1:6" x14ac:dyDescent="0.3">
      <c r="A192" s="26" t="s">
        <v>595</v>
      </c>
      <c r="B192" s="26" t="s">
        <v>596</v>
      </c>
      <c r="C192" s="26" t="s">
        <v>597</v>
      </c>
      <c r="D192" s="26" t="s">
        <v>47</v>
      </c>
      <c r="E192" s="26" t="s">
        <v>47</v>
      </c>
      <c r="F192" s="26" t="s">
        <v>48</v>
      </c>
    </row>
    <row r="193" spans="1:6" x14ac:dyDescent="0.3">
      <c r="A193" s="26" t="s">
        <v>598</v>
      </c>
      <c r="B193" s="26" t="s">
        <v>599</v>
      </c>
      <c r="C193" s="26" t="s">
        <v>600</v>
      </c>
      <c r="D193" s="26" t="s">
        <v>47</v>
      </c>
      <c r="E193" s="26" t="s">
        <v>47</v>
      </c>
      <c r="F193" s="26" t="s">
        <v>48</v>
      </c>
    </row>
    <row r="194" spans="1:6" x14ac:dyDescent="0.3">
      <c r="A194" s="26" t="s">
        <v>601</v>
      </c>
      <c r="B194" s="26" t="s">
        <v>602</v>
      </c>
      <c r="C194" s="26" t="s">
        <v>603</v>
      </c>
      <c r="D194" s="26" t="s">
        <v>47</v>
      </c>
      <c r="E194" s="26" t="s">
        <v>47</v>
      </c>
      <c r="F194" s="26" t="s">
        <v>48</v>
      </c>
    </row>
    <row r="195" spans="1:6" x14ac:dyDescent="0.3">
      <c r="A195" s="26" t="s">
        <v>604</v>
      </c>
      <c r="B195" s="26" t="s">
        <v>605</v>
      </c>
      <c r="C195" s="26" t="s">
        <v>606</v>
      </c>
      <c r="D195" s="26" t="s">
        <v>47</v>
      </c>
      <c r="E195" s="26" t="s">
        <v>47</v>
      </c>
      <c r="F195" s="26" t="s">
        <v>48</v>
      </c>
    </row>
    <row r="196" spans="1:6" x14ac:dyDescent="0.3">
      <c r="A196" s="26" t="s">
        <v>607</v>
      </c>
      <c r="B196" s="26" t="s">
        <v>608</v>
      </c>
      <c r="C196" s="26" t="s">
        <v>609</v>
      </c>
      <c r="D196" s="26" t="s">
        <v>47</v>
      </c>
      <c r="E196" s="26" t="s">
        <v>47</v>
      </c>
      <c r="F196" s="26" t="s">
        <v>48</v>
      </c>
    </row>
    <row r="197" spans="1:6" x14ac:dyDescent="0.3">
      <c r="A197" s="26" t="s">
        <v>610</v>
      </c>
      <c r="B197" s="26" t="s">
        <v>611</v>
      </c>
      <c r="C197" s="26" t="s">
        <v>612</v>
      </c>
      <c r="D197" s="26" t="s">
        <v>47</v>
      </c>
      <c r="E197" s="26" t="s">
        <v>47</v>
      </c>
      <c r="F197" s="26" t="s">
        <v>48</v>
      </c>
    </row>
    <row r="198" spans="1:6" x14ac:dyDescent="0.3">
      <c r="A198" s="26" t="s">
        <v>613</v>
      </c>
      <c r="B198" s="26" t="s">
        <v>614</v>
      </c>
      <c r="C198" s="26" t="s">
        <v>615</v>
      </c>
      <c r="D198" s="26" t="s">
        <v>47</v>
      </c>
      <c r="E198" s="26" t="s">
        <v>47</v>
      </c>
      <c r="F198" s="26" t="s">
        <v>48</v>
      </c>
    </row>
    <row r="199" spans="1:6" x14ac:dyDescent="0.3">
      <c r="A199" s="26" t="s">
        <v>616</v>
      </c>
      <c r="B199" s="26" t="s">
        <v>617</v>
      </c>
      <c r="C199" s="26" t="s">
        <v>618</v>
      </c>
      <c r="D199" s="26" t="s">
        <v>47</v>
      </c>
      <c r="E199" s="26" t="s">
        <v>47</v>
      </c>
      <c r="F199" s="26" t="s">
        <v>48</v>
      </c>
    </row>
    <row r="200" spans="1:6" x14ac:dyDescent="0.3">
      <c r="A200" s="26" t="s">
        <v>619</v>
      </c>
      <c r="B200" s="26" t="s">
        <v>620</v>
      </c>
      <c r="C200" s="26" t="s">
        <v>621</v>
      </c>
      <c r="D200" s="26" t="s">
        <v>47</v>
      </c>
      <c r="E200" s="26" t="s">
        <v>47</v>
      </c>
      <c r="F200" s="26" t="s">
        <v>48</v>
      </c>
    </row>
    <row r="201" spans="1:6" x14ac:dyDescent="0.3">
      <c r="A201" s="26" t="s">
        <v>622</v>
      </c>
      <c r="B201" s="26" t="s">
        <v>623</v>
      </c>
      <c r="C201" s="26" t="s">
        <v>624</v>
      </c>
      <c r="D201" s="26" t="s">
        <v>120</v>
      </c>
      <c r="E201" s="26" t="s">
        <v>120</v>
      </c>
      <c r="F201" s="26" t="s">
        <v>121</v>
      </c>
    </row>
    <row r="202" spans="1:6" x14ac:dyDescent="0.3">
      <c r="A202" s="26" t="s">
        <v>625</v>
      </c>
      <c r="B202" s="26" t="s">
        <v>626</v>
      </c>
      <c r="C202" s="26" t="s">
        <v>627</v>
      </c>
      <c r="D202" s="26" t="s">
        <v>47</v>
      </c>
      <c r="E202" s="26" t="s">
        <v>47</v>
      </c>
      <c r="F202" s="26" t="s">
        <v>48</v>
      </c>
    </row>
    <row r="203" spans="1:6" x14ac:dyDescent="0.3">
      <c r="A203" s="26" t="s">
        <v>628</v>
      </c>
      <c r="B203" s="26" t="s">
        <v>629</v>
      </c>
      <c r="C203" s="26" t="s">
        <v>630</v>
      </c>
      <c r="D203" s="26" t="s">
        <v>47</v>
      </c>
      <c r="E203" s="26" t="s">
        <v>47</v>
      </c>
      <c r="F203" s="26" t="s">
        <v>48</v>
      </c>
    </row>
    <row r="204" spans="1:6" x14ac:dyDescent="0.3">
      <c r="A204" s="26" t="s">
        <v>631</v>
      </c>
      <c r="B204" s="26" t="s">
        <v>632</v>
      </c>
      <c r="C204" s="26" t="s">
        <v>633</v>
      </c>
      <c r="D204" s="26" t="s">
        <v>47</v>
      </c>
      <c r="E204" s="26" t="s">
        <v>47</v>
      </c>
      <c r="F204" s="26" t="s">
        <v>48</v>
      </c>
    </row>
    <row r="205" spans="1:6" x14ac:dyDescent="0.3">
      <c r="A205" s="26" t="s">
        <v>634</v>
      </c>
      <c r="B205" s="26" t="s">
        <v>635</v>
      </c>
      <c r="C205" s="26" t="s">
        <v>636</v>
      </c>
      <c r="D205" s="26" t="s">
        <v>47</v>
      </c>
      <c r="E205" s="26" t="s">
        <v>47</v>
      </c>
      <c r="F205" s="26" t="s">
        <v>48</v>
      </c>
    </row>
    <row r="206" spans="1:6" x14ac:dyDescent="0.3">
      <c r="A206" s="26" t="s">
        <v>637</v>
      </c>
      <c r="B206" s="26" t="s">
        <v>638</v>
      </c>
      <c r="C206" s="26" t="s">
        <v>639</v>
      </c>
      <c r="D206" s="26" t="s">
        <v>47</v>
      </c>
      <c r="E206" s="26" t="s">
        <v>47</v>
      </c>
      <c r="F206" s="26" t="s">
        <v>48</v>
      </c>
    </row>
    <row r="207" spans="1:6" x14ac:dyDescent="0.3">
      <c r="A207" s="26" t="s">
        <v>640</v>
      </c>
      <c r="B207" s="26" t="s">
        <v>641</v>
      </c>
      <c r="C207" s="26" t="s">
        <v>642</v>
      </c>
      <c r="D207" s="26" t="s">
        <v>47</v>
      </c>
      <c r="E207" s="26" t="s">
        <v>47</v>
      </c>
      <c r="F207" s="26" t="s">
        <v>48</v>
      </c>
    </row>
    <row r="208" spans="1:6" x14ac:dyDescent="0.3">
      <c r="A208" s="26" t="s">
        <v>643</v>
      </c>
      <c r="B208" s="26" t="s">
        <v>644</v>
      </c>
      <c r="C208" s="26" t="s">
        <v>645</v>
      </c>
      <c r="D208" s="26" t="s">
        <v>47</v>
      </c>
      <c r="E208" s="26" t="s">
        <v>47</v>
      </c>
      <c r="F208" s="26" t="s">
        <v>48</v>
      </c>
    </row>
    <row r="209" spans="1:6" x14ac:dyDescent="0.3">
      <c r="A209" s="26" t="s">
        <v>646</v>
      </c>
      <c r="B209" s="26" t="s">
        <v>647</v>
      </c>
      <c r="C209" s="26" t="s">
        <v>648</v>
      </c>
      <c r="D209" s="26" t="s">
        <v>47</v>
      </c>
      <c r="E209" s="26" t="s">
        <v>47</v>
      </c>
      <c r="F209" s="26" t="s">
        <v>48</v>
      </c>
    </row>
    <row r="210" spans="1:6" x14ac:dyDescent="0.3">
      <c r="A210" s="26" t="s">
        <v>649</v>
      </c>
      <c r="B210" s="26" t="s">
        <v>650</v>
      </c>
      <c r="C210" s="26" t="s">
        <v>651</v>
      </c>
      <c r="D210" s="26" t="s">
        <v>47</v>
      </c>
      <c r="E210" s="26" t="s">
        <v>47</v>
      </c>
      <c r="F210" s="26" t="s">
        <v>48</v>
      </c>
    </row>
    <row r="211" spans="1:6" x14ac:dyDescent="0.3">
      <c r="A211" s="26" t="s">
        <v>652</v>
      </c>
      <c r="B211" s="26" t="s">
        <v>653</v>
      </c>
      <c r="C211" s="26" t="s">
        <v>654</v>
      </c>
      <c r="D211" s="26" t="s">
        <v>47</v>
      </c>
      <c r="E211" s="26" t="s">
        <v>47</v>
      </c>
      <c r="F211" s="26" t="s">
        <v>48</v>
      </c>
    </row>
    <row r="212" spans="1:6" x14ac:dyDescent="0.3">
      <c r="A212" s="26" t="s">
        <v>655</v>
      </c>
      <c r="B212" s="26" t="s">
        <v>656</v>
      </c>
      <c r="C212" s="26" t="s">
        <v>657</v>
      </c>
      <c r="D212" s="26" t="s">
        <v>47</v>
      </c>
      <c r="E212" s="26" t="s">
        <v>47</v>
      </c>
      <c r="F212" s="26" t="s">
        <v>48</v>
      </c>
    </row>
    <row r="213" spans="1:6" x14ac:dyDescent="0.3">
      <c r="A213" s="26" t="s">
        <v>658</v>
      </c>
      <c r="B213" s="26" t="s">
        <v>659</v>
      </c>
      <c r="C213" s="26" t="s">
        <v>485</v>
      </c>
      <c r="D213" s="26" t="s">
        <v>47</v>
      </c>
      <c r="E213" s="26" t="s">
        <v>47</v>
      </c>
      <c r="F213" s="26" t="s">
        <v>48</v>
      </c>
    </row>
    <row r="214" spans="1:6" x14ac:dyDescent="0.3">
      <c r="A214" s="26" t="s">
        <v>660</v>
      </c>
      <c r="B214" s="26" t="s">
        <v>661</v>
      </c>
      <c r="C214" s="26" t="s">
        <v>662</v>
      </c>
      <c r="D214" s="26" t="s">
        <v>47</v>
      </c>
      <c r="E214" s="26" t="s">
        <v>47</v>
      </c>
      <c r="F214" s="26" t="s">
        <v>48</v>
      </c>
    </row>
    <row r="215" spans="1:6" x14ac:dyDescent="0.3">
      <c r="A215" s="26" t="s">
        <v>663</v>
      </c>
      <c r="B215" s="26" t="s">
        <v>664</v>
      </c>
      <c r="C215" s="26" t="s">
        <v>665</v>
      </c>
      <c r="D215" s="26" t="s">
        <v>47</v>
      </c>
      <c r="E215" s="26" t="s">
        <v>47</v>
      </c>
      <c r="F215" s="26" t="s">
        <v>48</v>
      </c>
    </row>
    <row r="216" spans="1:6" x14ac:dyDescent="0.3">
      <c r="A216" s="26" t="s">
        <v>666</v>
      </c>
      <c r="B216" s="26" t="s">
        <v>667</v>
      </c>
      <c r="C216" s="26" t="s">
        <v>668</v>
      </c>
      <c r="D216" s="26" t="s">
        <v>47</v>
      </c>
      <c r="E216" s="26" t="s">
        <v>47</v>
      </c>
      <c r="F216" s="26" t="s">
        <v>48</v>
      </c>
    </row>
    <row r="217" spans="1:6" x14ac:dyDescent="0.3">
      <c r="A217" s="26" t="s">
        <v>669</v>
      </c>
      <c r="B217" s="26" t="s">
        <v>670</v>
      </c>
      <c r="C217" s="26" t="s">
        <v>671</v>
      </c>
      <c r="D217" s="26" t="s">
        <v>47</v>
      </c>
      <c r="E217" s="26" t="s">
        <v>47</v>
      </c>
      <c r="F217" s="26" t="s">
        <v>48</v>
      </c>
    </row>
    <row r="218" spans="1:6" x14ac:dyDescent="0.3">
      <c r="A218" s="26" t="s">
        <v>672</v>
      </c>
      <c r="B218" s="26" t="s">
        <v>673</v>
      </c>
      <c r="C218" s="26" t="s">
        <v>674</v>
      </c>
      <c r="D218" s="26" t="s">
        <v>47</v>
      </c>
      <c r="E218" s="26" t="s">
        <v>47</v>
      </c>
      <c r="F218" s="26" t="s">
        <v>48</v>
      </c>
    </row>
    <row r="219" spans="1:6" x14ac:dyDescent="0.3">
      <c r="A219" s="26" t="s">
        <v>675</v>
      </c>
      <c r="B219" s="26" t="s">
        <v>676</v>
      </c>
      <c r="C219" s="26" t="s">
        <v>677</v>
      </c>
      <c r="D219" s="26" t="s">
        <v>47</v>
      </c>
      <c r="E219" s="26" t="s">
        <v>47</v>
      </c>
      <c r="F219" s="26" t="s">
        <v>48</v>
      </c>
    </row>
    <row r="220" spans="1:6" x14ac:dyDescent="0.3">
      <c r="A220" s="26" t="s">
        <v>678</v>
      </c>
      <c r="B220" s="26" t="s">
        <v>679</v>
      </c>
      <c r="C220" s="26" t="s">
        <v>680</v>
      </c>
      <c r="D220" s="26" t="s">
        <v>47</v>
      </c>
      <c r="E220" s="26" t="s">
        <v>47</v>
      </c>
      <c r="F220" s="26" t="s">
        <v>48</v>
      </c>
    </row>
    <row r="221" spans="1:6" x14ac:dyDescent="0.3">
      <c r="A221" s="26" t="s">
        <v>681</v>
      </c>
      <c r="B221" s="26" t="s">
        <v>682</v>
      </c>
      <c r="C221" s="26" t="s">
        <v>683</v>
      </c>
      <c r="D221" s="26" t="s">
        <v>47</v>
      </c>
      <c r="E221" s="26" t="s">
        <v>47</v>
      </c>
      <c r="F221" s="26" t="s">
        <v>48</v>
      </c>
    </row>
    <row r="222" spans="1:6" x14ac:dyDescent="0.3">
      <c r="A222" s="26" t="s">
        <v>684</v>
      </c>
      <c r="B222" s="26" t="s">
        <v>685</v>
      </c>
      <c r="C222" s="26" t="s">
        <v>686</v>
      </c>
      <c r="D222" s="26" t="s">
        <v>47</v>
      </c>
      <c r="E222" s="26" t="s">
        <v>47</v>
      </c>
      <c r="F222" s="26" t="s">
        <v>48</v>
      </c>
    </row>
    <row r="223" spans="1:6" x14ac:dyDescent="0.3">
      <c r="A223" s="26" t="s">
        <v>687</v>
      </c>
      <c r="B223" s="26" t="s">
        <v>688</v>
      </c>
      <c r="C223" s="26" t="s">
        <v>689</v>
      </c>
      <c r="D223" s="26" t="s">
        <v>47</v>
      </c>
      <c r="E223" s="26" t="s">
        <v>47</v>
      </c>
      <c r="F223" s="26" t="s">
        <v>48</v>
      </c>
    </row>
    <row r="224" spans="1:6" x14ac:dyDescent="0.3">
      <c r="A224" s="26" t="s">
        <v>690</v>
      </c>
      <c r="B224" s="26" t="s">
        <v>691</v>
      </c>
      <c r="C224" s="26" t="s">
        <v>692</v>
      </c>
      <c r="D224" s="26" t="s">
        <v>47</v>
      </c>
      <c r="E224" s="26" t="s">
        <v>47</v>
      </c>
      <c r="F224" s="26" t="s">
        <v>48</v>
      </c>
    </row>
    <row r="225" spans="1:6" x14ac:dyDescent="0.3">
      <c r="A225" s="26" t="s">
        <v>693</v>
      </c>
      <c r="B225" s="26" t="s">
        <v>694</v>
      </c>
      <c r="C225" s="26" t="s">
        <v>695</v>
      </c>
      <c r="D225" s="26" t="s">
        <v>47</v>
      </c>
      <c r="E225" s="26" t="s">
        <v>47</v>
      </c>
      <c r="F225" s="26" t="s">
        <v>48</v>
      </c>
    </row>
    <row r="226" spans="1:6" x14ac:dyDescent="0.3">
      <c r="A226" s="26" t="s">
        <v>696</v>
      </c>
      <c r="B226" s="26" t="s">
        <v>697</v>
      </c>
      <c r="C226" s="26" t="s">
        <v>698</v>
      </c>
      <c r="D226" s="26" t="s">
        <v>47</v>
      </c>
      <c r="E226" s="26" t="s">
        <v>47</v>
      </c>
      <c r="F226" s="26" t="s">
        <v>48</v>
      </c>
    </row>
    <row r="227" spans="1:6" x14ac:dyDescent="0.3">
      <c r="A227" s="26" t="s">
        <v>699</v>
      </c>
      <c r="B227" s="26" t="s">
        <v>700</v>
      </c>
      <c r="C227" s="26" t="s">
        <v>701</v>
      </c>
      <c r="D227" s="26" t="s">
        <v>47</v>
      </c>
      <c r="E227" s="26" t="s">
        <v>47</v>
      </c>
      <c r="F227" s="26" t="s">
        <v>48</v>
      </c>
    </row>
    <row r="228" spans="1:6" x14ac:dyDescent="0.3">
      <c r="A228" s="26" t="s">
        <v>702</v>
      </c>
      <c r="B228" s="26" t="s">
        <v>703</v>
      </c>
      <c r="C228" s="26" t="s">
        <v>704</v>
      </c>
      <c r="D228" s="26" t="s">
        <v>47</v>
      </c>
      <c r="E228" s="26" t="s">
        <v>47</v>
      </c>
      <c r="F228" s="26" t="s">
        <v>48</v>
      </c>
    </row>
    <row r="229" spans="1:6" x14ac:dyDescent="0.3">
      <c r="A229" s="26" t="s">
        <v>705</v>
      </c>
      <c r="B229" s="26" t="s">
        <v>706</v>
      </c>
      <c r="C229" s="26" t="s">
        <v>707</v>
      </c>
      <c r="D229" s="26" t="s">
        <v>47</v>
      </c>
      <c r="E229" s="26" t="s">
        <v>47</v>
      </c>
      <c r="F229" s="26" t="s">
        <v>48</v>
      </c>
    </row>
    <row r="230" spans="1:6" x14ac:dyDescent="0.3">
      <c r="A230" s="26" t="s">
        <v>708</v>
      </c>
      <c r="B230" s="26" t="s">
        <v>709</v>
      </c>
      <c r="C230" s="26" t="s">
        <v>710</v>
      </c>
      <c r="D230" s="26" t="s">
        <v>47</v>
      </c>
      <c r="E230" s="26" t="s">
        <v>47</v>
      </c>
      <c r="F230" s="26" t="s">
        <v>48</v>
      </c>
    </row>
    <row r="231" spans="1:6" x14ac:dyDescent="0.3">
      <c r="A231" s="26" t="s">
        <v>711</v>
      </c>
      <c r="B231" s="26" t="s">
        <v>712</v>
      </c>
      <c r="C231" s="26" t="s">
        <v>713</v>
      </c>
      <c r="D231" s="26" t="s">
        <v>47</v>
      </c>
      <c r="E231" s="26" t="s">
        <v>47</v>
      </c>
      <c r="F231" s="26" t="s">
        <v>48</v>
      </c>
    </row>
    <row r="232" spans="1:6" x14ac:dyDescent="0.3">
      <c r="A232" s="26" t="s">
        <v>714</v>
      </c>
      <c r="B232" s="26" t="s">
        <v>715</v>
      </c>
      <c r="C232" s="26" t="s">
        <v>716</v>
      </c>
      <c r="D232" s="26" t="s">
        <v>47</v>
      </c>
      <c r="E232" s="26" t="s">
        <v>47</v>
      </c>
      <c r="F232" s="26" t="s">
        <v>48</v>
      </c>
    </row>
    <row r="233" spans="1:6" x14ac:dyDescent="0.3">
      <c r="A233" s="26" t="s">
        <v>717</v>
      </c>
      <c r="B233" s="26" t="s">
        <v>718</v>
      </c>
      <c r="C233" s="26" t="s">
        <v>719</v>
      </c>
      <c r="D233" s="26" t="s">
        <v>47</v>
      </c>
      <c r="E233" s="26" t="s">
        <v>47</v>
      </c>
      <c r="F233" s="26" t="s">
        <v>48</v>
      </c>
    </row>
    <row r="234" spans="1:6" x14ac:dyDescent="0.3">
      <c r="A234" s="26" t="s">
        <v>720</v>
      </c>
      <c r="B234" s="26" t="s">
        <v>721</v>
      </c>
      <c r="C234" s="26" t="s">
        <v>722</v>
      </c>
      <c r="D234" s="26" t="s">
        <v>47</v>
      </c>
      <c r="E234" s="26" t="s">
        <v>47</v>
      </c>
      <c r="F234" s="26" t="s">
        <v>48</v>
      </c>
    </row>
    <row r="235" spans="1:6" x14ac:dyDescent="0.3">
      <c r="A235" s="26" t="s">
        <v>723</v>
      </c>
      <c r="B235" s="26" t="s">
        <v>724</v>
      </c>
      <c r="C235" s="26" t="s">
        <v>725</v>
      </c>
      <c r="D235" s="26" t="s">
        <v>47</v>
      </c>
      <c r="E235" s="26" t="s">
        <v>47</v>
      </c>
      <c r="F235" s="26" t="s">
        <v>48</v>
      </c>
    </row>
    <row r="236" spans="1:6" x14ac:dyDescent="0.3">
      <c r="A236" s="26" t="s">
        <v>726</v>
      </c>
      <c r="B236" s="26" t="s">
        <v>727</v>
      </c>
      <c r="C236" s="26" t="s">
        <v>728</v>
      </c>
      <c r="D236" s="26" t="s">
        <v>47</v>
      </c>
      <c r="E236" s="26" t="s">
        <v>47</v>
      </c>
      <c r="F236" s="26" t="s">
        <v>48</v>
      </c>
    </row>
    <row r="237" spans="1:6" x14ac:dyDescent="0.3">
      <c r="A237" s="26" t="s">
        <v>729</v>
      </c>
      <c r="B237" s="26" t="s">
        <v>730</v>
      </c>
      <c r="C237" s="26" t="s">
        <v>731</v>
      </c>
      <c r="D237" s="26" t="s">
        <v>47</v>
      </c>
      <c r="E237" s="26" t="s">
        <v>47</v>
      </c>
      <c r="F237" s="26" t="s">
        <v>48</v>
      </c>
    </row>
    <row r="238" spans="1:6" x14ac:dyDescent="0.3">
      <c r="A238" s="26" t="s">
        <v>732</v>
      </c>
      <c r="B238" s="26" t="s">
        <v>733</v>
      </c>
      <c r="C238" s="26" t="s">
        <v>734</v>
      </c>
      <c r="D238" s="26" t="s">
        <v>47</v>
      </c>
      <c r="E238" s="26" t="s">
        <v>47</v>
      </c>
      <c r="F238" s="26" t="s">
        <v>48</v>
      </c>
    </row>
    <row r="239" spans="1:6" x14ac:dyDescent="0.3">
      <c r="A239" s="26" t="s">
        <v>735</v>
      </c>
      <c r="B239" s="26" t="s">
        <v>736</v>
      </c>
      <c r="C239" s="26" t="s">
        <v>737</v>
      </c>
      <c r="D239" s="26" t="s">
        <v>47</v>
      </c>
      <c r="E239" s="26" t="s">
        <v>47</v>
      </c>
      <c r="F239" s="26" t="s">
        <v>48</v>
      </c>
    </row>
    <row r="240" spans="1:6" x14ac:dyDescent="0.3">
      <c r="A240" s="26" t="s">
        <v>738</v>
      </c>
      <c r="B240" s="26" t="s">
        <v>739</v>
      </c>
      <c r="C240" s="26" t="s">
        <v>740</v>
      </c>
      <c r="D240" s="26" t="s">
        <v>47</v>
      </c>
      <c r="E240" s="26" t="s">
        <v>47</v>
      </c>
      <c r="F240" s="26" t="s">
        <v>48</v>
      </c>
    </row>
    <row r="241" spans="1:6" x14ac:dyDescent="0.3">
      <c r="A241" s="26" t="s">
        <v>741</v>
      </c>
      <c r="B241" s="26" t="s">
        <v>742</v>
      </c>
      <c r="C241" s="26" t="s">
        <v>743</v>
      </c>
      <c r="D241" s="26" t="s">
        <v>47</v>
      </c>
      <c r="E241" s="26" t="s">
        <v>47</v>
      </c>
      <c r="F241" s="26" t="s">
        <v>48</v>
      </c>
    </row>
    <row r="242" spans="1:6" x14ac:dyDescent="0.3">
      <c r="A242" s="26" t="s">
        <v>744</v>
      </c>
      <c r="B242" s="26" t="s">
        <v>745</v>
      </c>
      <c r="C242" s="26" t="s">
        <v>746</v>
      </c>
      <c r="D242" s="26" t="s">
        <v>47</v>
      </c>
      <c r="E242" s="26" t="s">
        <v>47</v>
      </c>
      <c r="F242" s="26" t="s">
        <v>48</v>
      </c>
    </row>
    <row r="243" spans="1:6" x14ac:dyDescent="0.3">
      <c r="A243" s="26" t="s">
        <v>747</v>
      </c>
      <c r="B243" s="26" t="s">
        <v>748</v>
      </c>
      <c r="C243" s="26" t="s">
        <v>749</v>
      </c>
      <c r="D243" s="26" t="s">
        <v>47</v>
      </c>
      <c r="E243" s="26" t="s">
        <v>47</v>
      </c>
      <c r="F243" s="26" t="s">
        <v>48</v>
      </c>
    </row>
    <row r="244" spans="1:6" x14ac:dyDescent="0.3">
      <c r="A244" s="26" t="s">
        <v>750</v>
      </c>
      <c r="B244" s="26" t="s">
        <v>751</v>
      </c>
      <c r="C244" s="26" t="s">
        <v>752</v>
      </c>
      <c r="D244" s="26" t="s">
        <v>47</v>
      </c>
      <c r="E244" s="26" t="s">
        <v>47</v>
      </c>
      <c r="F244" s="26" t="s">
        <v>48</v>
      </c>
    </row>
    <row r="245" spans="1:6" x14ac:dyDescent="0.3">
      <c r="A245" s="26" t="s">
        <v>753</v>
      </c>
      <c r="B245" s="26" t="s">
        <v>754</v>
      </c>
      <c r="C245" s="26" t="s">
        <v>755</v>
      </c>
      <c r="D245" s="26" t="s">
        <v>47</v>
      </c>
      <c r="E245" s="26" t="s">
        <v>47</v>
      </c>
      <c r="F245" s="26" t="s">
        <v>48</v>
      </c>
    </row>
    <row r="246" spans="1:6" x14ac:dyDescent="0.3">
      <c r="A246" s="26" t="s">
        <v>756</v>
      </c>
      <c r="B246" s="26" t="s">
        <v>757</v>
      </c>
      <c r="C246" s="26" t="s">
        <v>758</v>
      </c>
      <c r="D246" s="26" t="s">
        <v>47</v>
      </c>
      <c r="E246" s="26" t="s">
        <v>47</v>
      </c>
      <c r="F246" s="26" t="s">
        <v>48</v>
      </c>
    </row>
    <row r="247" spans="1:6" x14ac:dyDescent="0.3">
      <c r="A247" s="26" t="s">
        <v>759</v>
      </c>
      <c r="B247" s="26" t="s">
        <v>760</v>
      </c>
      <c r="C247" s="26" t="s">
        <v>761</v>
      </c>
      <c r="D247" s="26" t="s">
        <v>47</v>
      </c>
      <c r="E247" s="26" t="s">
        <v>47</v>
      </c>
      <c r="F247" s="26" t="s">
        <v>48</v>
      </c>
    </row>
    <row r="248" spans="1:6" x14ac:dyDescent="0.3">
      <c r="A248" s="26" t="s">
        <v>762</v>
      </c>
      <c r="B248" s="26" t="s">
        <v>763</v>
      </c>
      <c r="C248" s="26" t="s">
        <v>764</v>
      </c>
      <c r="D248" s="26" t="s">
        <v>47</v>
      </c>
      <c r="E248" s="26" t="s">
        <v>47</v>
      </c>
      <c r="F248" s="26" t="s">
        <v>48</v>
      </c>
    </row>
    <row r="249" spans="1:6" x14ac:dyDescent="0.3">
      <c r="A249" s="26" t="s">
        <v>765</v>
      </c>
      <c r="B249" s="26" t="s">
        <v>766</v>
      </c>
      <c r="C249" s="26" t="s">
        <v>767</v>
      </c>
      <c r="D249" s="26" t="s">
        <v>47</v>
      </c>
      <c r="E249" s="26" t="s">
        <v>47</v>
      </c>
      <c r="F249" s="26" t="s">
        <v>48</v>
      </c>
    </row>
    <row r="250" spans="1:6" x14ac:dyDescent="0.3">
      <c r="A250" s="26" t="s">
        <v>768</v>
      </c>
      <c r="B250" s="26" t="s">
        <v>769</v>
      </c>
      <c r="C250" s="26" t="s">
        <v>770</v>
      </c>
      <c r="D250" s="26" t="s">
        <v>47</v>
      </c>
      <c r="E250" s="26" t="s">
        <v>47</v>
      </c>
      <c r="F250" s="26" t="s">
        <v>48</v>
      </c>
    </row>
    <row r="251" spans="1:6" x14ac:dyDescent="0.3">
      <c r="A251" s="26" t="s">
        <v>771</v>
      </c>
      <c r="B251" s="26" t="s">
        <v>772</v>
      </c>
      <c r="C251" s="26" t="s">
        <v>773</v>
      </c>
      <c r="D251" s="26" t="s">
        <v>47</v>
      </c>
      <c r="E251" s="26" t="s">
        <v>47</v>
      </c>
      <c r="F251" s="26" t="s">
        <v>48</v>
      </c>
    </row>
    <row r="252" spans="1:6" x14ac:dyDescent="0.3">
      <c r="A252" s="26" t="s">
        <v>774</v>
      </c>
      <c r="B252" s="26" t="s">
        <v>775</v>
      </c>
      <c r="C252" s="26" t="s">
        <v>776</v>
      </c>
      <c r="D252" s="26" t="s">
        <v>47</v>
      </c>
      <c r="E252" s="26" t="s">
        <v>47</v>
      </c>
      <c r="F252" s="26" t="s">
        <v>48</v>
      </c>
    </row>
    <row r="253" spans="1:6" x14ac:dyDescent="0.3">
      <c r="A253" s="26" t="s">
        <v>777</v>
      </c>
      <c r="B253" s="26" t="s">
        <v>778</v>
      </c>
      <c r="C253" s="26" t="s">
        <v>779</v>
      </c>
      <c r="D253" s="26" t="s">
        <v>47</v>
      </c>
      <c r="E253" s="26" t="s">
        <v>47</v>
      </c>
      <c r="F253" s="26" t="s">
        <v>48</v>
      </c>
    </row>
    <row r="254" spans="1:6" x14ac:dyDescent="0.3">
      <c r="A254" s="26" t="s">
        <v>780</v>
      </c>
      <c r="B254" s="26" t="s">
        <v>781</v>
      </c>
      <c r="C254" s="26" t="s">
        <v>782</v>
      </c>
      <c r="D254" s="26" t="s">
        <v>47</v>
      </c>
      <c r="E254" s="26" t="s">
        <v>47</v>
      </c>
      <c r="F254" s="26" t="s">
        <v>48</v>
      </c>
    </row>
    <row r="255" spans="1:6" x14ac:dyDescent="0.3">
      <c r="A255" s="26" t="s">
        <v>783</v>
      </c>
      <c r="B255" s="26" t="s">
        <v>784</v>
      </c>
      <c r="C255" s="26" t="s">
        <v>785</v>
      </c>
      <c r="D255" s="26" t="s">
        <v>47</v>
      </c>
      <c r="E255" s="26" t="s">
        <v>47</v>
      </c>
      <c r="F255" s="26" t="s">
        <v>48</v>
      </c>
    </row>
    <row r="256" spans="1:6" x14ac:dyDescent="0.3">
      <c r="A256" s="26" t="s">
        <v>786</v>
      </c>
      <c r="B256" s="26" t="s">
        <v>787</v>
      </c>
      <c r="C256" s="26" t="s">
        <v>788</v>
      </c>
      <c r="D256" s="26" t="s">
        <v>47</v>
      </c>
      <c r="E256" s="26" t="s">
        <v>47</v>
      </c>
      <c r="F256" s="26" t="s">
        <v>48</v>
      </c>
    </row>
    <row r="257" spans="1:6" x14ac:dyDescent="0.3">
      <c r="A257" s="26" t="s">
        <v>789</v>
      </c>
      <c r="B257" s="26" t="s">
        <v>790</v>
      </c>
      <c r="C257" s="26" t="s">
        <v>791</v>
      </c>
      <c r="D257" s="26" t="s">
        <v>47</v>
      </c>
      <c r="E257" s="26" t="s">
        <v>47</v>
      </c>
      <c r="F257" s="26" t="s">
        <v>48</v>
      </c>
    </row>
    <row r="258" spans="1:6" x14ac:dyDescent="0.3">
      <c r="A258" s="26" t="s">
        <v>792</v>
      </c>
      <c r="B258" s="26" t="s">
        <v>793</v>
      </c>
      <c r="C258" s="26" t="s">
        <v>794</v>
      </c>
      <c r="D258" s="26" t="s">
        <v>47</v>
      </c>
      <c r="E258" s="26" t="s">
        <v>47</v>
      </c>
      <c r="F258" s="26" t="s">
        <v>48</v>
      </c>
    </row>
    <row r="259" spans="1:6" x14ac:dyDescent="0.3">
      <c r="A259" s="26" t="s">
        <v>795</v>
      </c>
      <c r="B259" s="26" t="s">
        <v>796</v>
      </c>
      <c r="C259" s="26" t="s">
        <v>797</v>
      </c>
      <c r="D259" s="26" t="s">
        <v>47</v>
      </c>
      <c r="E259" s="26" t="s">
        <v>47</v>
      </c>
      <c r="F259" s="26" t="s">
        <v>48</v>
      </c>
    </row>
    <row r="260" spans="1:6" x14ac:dyDescent="0.3">
      <c r="A260" s="26" t="s">
        <v>798</v>
      </c>
      <c r="B260" s="26" t="s">
        <v>799</v>
      </c>
      <c r="C260" s="26" t="s">
        <v>800</v>
      </c>
      <c r="D260" s="26" t="s">
        <v>47</v>
      </c>
      <c r="E260" s="26" t="s">
        <v>47</v>
      </c>
      <c r="F260" s="26" t="s">
        <v>48</v>
      </c>
    </row>
    <row r="261" spans="1:6" x14ac:dyDescent="0.3">
      <c r="A261" s="26" t="s">
        <v>801</v>
      </c>
      <c r="B261" s="26" t="s">
        <v>802</v>
      </c>
      <c r="C261" s="26" t="s">
        <v>803</v>
      </c>
      <c r="D261" s="26" t="s">
        <v>47</v>
      </c>
      <c r="E261" s="26" t="s">
        <v>47</v>
      </c>
      <c r="F261" s="26" t="s">
        <v>48</v>
      </c>
    </row>
    <row r="262" spans="1:6" x14ac:dyDescent="0.3">
      <c r="A262" s="26" t="s">
        <v>804</v>
      </c>
      <c r="B262" s="26" t="s">
        <v>805</v>
      </c>
      <c r="C262" s="26" t="s">
        <v>806</v>
      </c>
      <c r="D262" s="26" t="s">
        <v>47</v>
      </c>
      <c r="E262" s="26" t="s">
        <v>47</v>
      </c>
      <c r="F262" s="26" t="s">
        <v>48</v>
      </c>
    </row>
    <row r="263" spans="1:6" x14ac:dyDescent="0.3">
      <c r="A263" s="26" t="s">
        <v>807</v>
      </c>
      <c r="B263" s="26" t="s">
        <v>808</v>
      </c>
      <c r="C263" s="26" t="s">
        <v>809</v>
      </c>
      <c r="D263" s="26" t="s">
        <v>47</v>
      </c>
      <c r="E263" s="26" t="s">
        <v>47</v>
      </c>
      <c r="F263" s="26" t="s">
        <v>48</v>
      </c>
    </row>
    <row r="264" spans="1:6" x14ac:dyDescent="0.3">
      <c r="A264" s="26" t="s">
        <v>810</v>
      </c>
      <c r="B264" s="26" t="s">
        <v>811</v>
      </c>
      <c r="C264" s="26" t="s">
        <v>124</v>
      </c>
      <c r="D264" s="26" t="s">
        <v>47</v>
      </c>
      <c r="E264" s="26" t="s">
        <v>120</v>
      </c>
      <c r="F264" s="26" t="s">
        <v>812</v>
      </c>
    </row>
    <row r="265" spans="1:6" x14ac:dyDescent="0.3">
      <c r="A265" s="26" t="s">
        <v>813</v>
      </c>
      <c r="B265" s="26" t="s">
        <v>814</v>
      </c>
      <c r="C265" s="26" t="s">
        <v>815</v>
      </c>
      <c r="D265" s="26" t="s">
        <v>47</v>
      </c>
      <c r="E265" s="26" t="s">
        <v>47</v>
      </c>
      <c r="F265" s="26" t="s">
        <v>48</v>
      </c>
    </row>
    <row r="266" spans="1:6" x14ac:dyDescent="0.3">
      <c r="A266" s="26" t="s">
        <v>816</v>
      </c>
      <c r="B266" s="26" t="s">
        <v>817</v>
      </c>
      <c r="C266" s="26" t="s">
        <v>818</v>
      </c>
      <c r="D266" s="26" t="s">
        <v>47</v>
      </c>
      <c r="E266" s="26" t="s">
        <v>47</v>
      </c>
      <c r="F266" s="26" t="s">
        <v>48</v>
      </c>
    </row>
    <row r="267" spans="1:6" x14ac:dyDescent="0.3">
      <c r="A267" s="26" t="s">
        <v>819</v>
      </c>
      <c r="B267" s="26" t="s">
        <v>820</v>
      </c>
      <c r="C267" s="26" t="s">
        <v>821</v>
      </c>
      <c r="D267" s="26" t="s">
        <v>47</v>
      </c>
      <c r="E267" s="26" t="s">
        <v>47</v>
      </c>
      <c r="F267" s="26" t="s">
        <v>48</v>
      </c>
    </row>
    <row r="268" spans="1:6" x14ac:dyDescent="0.3">
      <c r="A268" s="26" t="s">
        <v>822</v>
      </c>
      <c r="B268" s="26" t="s">
        <v>823</v>
      </c>
      <c r="C268" s="26" t="s">
        <v>824</v>
      </c>
      <c r="D268" s="26" t="s">
        <v>47</v>
      </c>
      <c r="E268" s="26" t="s">
        <v>47</v>
      </c>
      <c r="F268" s="26" t="s">
        <v>48</v>
      </c>
    </row>
    <row r="269" spans="1:6" x14ac:dyDescent="0.3">
      <c r="A269" s="26" t="s">
        <v>825</v>
      </c>
      <c r="B269" s="26" t="s">
        <v>826</v>
      </c>
      <c r="C269" s="26" t="s">
        <v>827</v>
      </c>
      <c r="D269" s="26" t="s">
        <v>47</v>
      </c>
      <c r="E269" s="26" t="s">
        <v>47</v>
      </c>
      <c r="F269" s="26" t="s">
        <v>48</v>
      </c>
    </row>
    <row r="270" spans="1:6" x14ac:dyDescent="0.3">
      <c r="A270" s="26" t="s">
        <v>828</v>
      </c>
      <c r="B270" s="26" t="s">
        <v>829</v>
      </c>
      <c r="C270" s="26" t="s">
        <v>830</v>
      </c>
      <c r="D270" s="26" t="s">
        <v>47</v>
      </c>
      <c r="E270" s="26" t="s">
        <v>47</v>
      </c>
      <c r="F270" s="26" t="s">
        <v>48</v>
      </c>
    </row>
    <row r="271" spans="1:6" x14ac:dyDescent="0.3">
      <c r="A271" s="26" t="s">
        <v>831</v>
      </c>
      <c r="B271" s="26" t="s">
        <v>832</v>
      </c>
      <c r="C271" s="26" t="s">
        <v>833</v>
      </c>
      <c r="D271" s="26" t="s">
        <v>47</v>
      </c>
      <c r="E271" s="26" t="s">
        <v>47</v>
      </c>
      <c r="F271" s="26" t="s">
        <v>48</v>
      </c>
    </row>
    <row r="272" spans="1:6" x14ac:dyDescent="0.3">
      <c r="A272" s="26" t="s">
        <v>834</v>
      </c>
      <c r="B272" s="26" t="s">
        <v>835</v>
      </c>
      <c r="C272" s="26" t="s">
        <v>836</v>
      </c>
      <c r="D272" s="26" t="s">
        <v>47</v>
      </c>
      <c r="E272" s="26" t="s">
        <v>47</v>
      </c>
      <c r="F272" s="26" t="s">
        <v>48</v>
      </c>
    </row>
    <row r="273" spans="1:6" x14ac:dyDescent="0.3">
      <c r="A273" s="26" t="s">
        <v>837</v>
      </c>
      <c r="B273" s="26" t="s">
        <v>838</v>
      </c>
      <c r="C273" s="26" t="s">
        <v>839</v>
      </c>
      <c r="D273" s="26" t="s">
        <v>47</v>
      </c>
      <c r="E273" s="26" t="s">
        <v>47</v>
      </c>
      <c r="F273" s="26" t="s">
        <v>48</v>
      </c>
    </row>
    <row r="274" spans="1:6" x14ac:dyDescent="0.3">
      <c r="A274" s="26" t="s">
        <v>840</v>
      </c>
      <c r="B274" s="26" t="s">
        <v>841</v>
      </c>
      <c r="C274" s="26" t="s">
        <v>842</v>
      </c>
      <c r="D274" s="26" t="s">
        <v>47</v>
      </c>
      <c r="E274" s="26" t="s">
        <v>47</v>
      </c>
      <c r="F274" s="26" t="s">
        <v>48</v>
      </c>
    </row>
    <row r="275" spans="1:6" x14ac:dyDescent="0.3">
      <c r="A275" s="26" t="s">
        <v>843</v>
      </c>
      <c r="B275" s="26" t="s">
        <v>844</v>
      </c>
      <c r="C275" s="26" t="s">
        <v>845</v>
      </c>
      <c r="D275" s="26" t="s">
        <v>47</v>
      </c>
      <c r="E275" s="26" t="s">
        <v>47</v>
      </c>
      <c r="F275" s="26" t="s">
        <v>48</v>
      </c>
    </row>
    <row r="276" spans="1:6" x14ac:dyDescent="0.3">
      <c r="A276" s="26" t="s">
        <v>846</v>
      </c>
      <c r="B276" s="26" t="s">
        <v>847</v>
      </c>
      <c r="C276" s="26" t="s">
        <v>848</v>
      </c>
      <c r="D276" s="26" t="s">
        <v>47</v>
      </c>
      <c r="E276" s="26" t="s">
        <v>47</v>
      </c>
      <c r="F276" s="26" t="s">
        <v>48</v>
      </c>
    </row>
    <row r="277" spans="1:6" x14ac:dyDescent="0.3">
      <c r="A277" s="26" t="s">
        <v>849</v>
      </c>
      <c r="B277" s="26" t="s">
        <v>850</v>
      </c>
      <c r="C277" s="26" t="s">
        <v>851</v>
      </c>
      <c r="D277" s="26" t="s">
        <v>47</v>
      </c>
      <c r="E277" s="26" t="s">
        <v>47</v>
      </c>
      <c r="F277" s="26" t="s">
        <v>48</v>
      </c>
    </row>
    <row r="278" spans="1:6" x14ac:dyDescent="0.3">
      <c r="A278" s="26" t="s">
        <v>852</v>
      </c>
      <c r="B278" s="26" t="s">
        <v>853</v>
      </c>
      <c r="C278" s="26" t="s">
        <v>124</v>
      </c>
      <c r="D278" s="26" t="s">
        <v>120</v>
      </c>
      <c r="E278" s="26" t="s">
        <v>120</v>
      </c>
      <c r="F278" s="26" t="s">
        <v>121</v>
      </c>
    </row>
    <row r="279" spans="1:6" x14ac:dyDescent="0.3">
      <c r="A279" s="26" t="s">
        <v>854</v>
      </c>
      <c r="B279" s="26" t="s">
        <v>855</v>
      </c>
      <c r="C279" s="26" t="s">
        <v>856</v>
      </c>
      <c r="D279" s="26" t="s">
        <v>47</v>
      </c>
      <c r="E279" s="26" t="s">
        <v>47</v>
      </c>
      <c r="F279" s="26" t="s">
        <v>48</v>
      </c>
    </row>
    <row r="280" spans="1:6" x14ac:dyDescent="0.3">
      <c r="A280" s="26" t="s">
        <v>857</v>
      </c>
      <c r="B280" s="26" t="s">
        <v>858</v>
      </c>
      <c r="C280" s="26" t="s">
        <v>859</v>
      </c>
      <c r="D280" s="26" t="s">
        <v>47</v>
      </c>
      <c r="E280" s="26" t="s">
        <v>47</v>
      </c>
      <c r="F280" s="26" t="s">
        <v>48</v>
      </c>
    </row>
    <row r="281" spans="1:6" x14ac:dyDescent="0.3">
      <c r="A281" s="26" t="s">
        <v>860</v>
      </c>
      <c r="B281" s="26" t="s">
        <v>861</v>
      </c>
      <c r="C281" s="26" t="s">
        <v>862</v>
      </c>
      <c r="D281" s="26" t="s">
        <v>47</v>
      </c>
      <c r="E281" s="26" t="s">
        <v>47</v>
      </c>
      <c r="F281" s="26" t="s">
        <v>48</v>
      </c>
    </row>
    <row r="282" spans="1:6" x14ac:dyDescent="0.3">
      <c r="A282" s="26" t="s">
        <v>863</v>
      </c>
      <c r="B282" s="26" t="s">
        <v>864</v>
      </c>
      <c r="C282" s="26" t="s">
        <v>865</v>
      </c>
      <c r="D282" s="26" t="s">
        <v>47</v>
      </c>
      <c r="E282" s="26" t="s">
        <v>47</v>
      </c>
      <c r="F282" s="26" t="s">
        <v>48</v>
      </c>
    </row>
    <row r="283" spans="1:6" x14ac:dyDescent="0.3">
      <c r="A283" s="26" t="s">
        <v>866</v>
      </c>
      <c r="B283" s="26" t="s">
        <v>867</v>
      </c>
      <c r="C283" s="26" t="s">
        <v>868</v>
      </c>
      <c r="D283" s="26" t="s">
        <v>47</v>
      </c>
      <c r="E283" s="26" t="s">
        <v>47</v>
      </c>
      <c r="F283" s="26" t="s">
        <v>48</v>
      </c>
    </row>
    <row r="284" spans="1:6" x14ac:dyDescent="0.3">
      <c r="A284" s="26" t="s">
        <v>869</v>
      </c>
      <c r="B284" s="26" t="s">
        <v>870</v>
      </c>
      <c r="C284" s="26" t="s">
        <v>871</v>
      </c>
      <c r="D284" s="26" t="s">
        <v>47</v>
      </c>
      <c r="E284" s="26" t="s">
        <v>47</v>
      </c>
      <c r="F284" s="26" t="s">
        <v>48</v>
      </c>
    </row>
    <row r="285" spans="1:6" x14ac:dyDescent="0.3">
      <c r="A285" s="26" t="s">
        <v>872</v>
      </c>
      <c r="B285" s="26" t="s">
        <v>873</v>
      </c>
      <c r="C285" s="26" t="s">
        <v>874</v>
      </c>
      <c r="D285" s="26" t="s">
        <v>47</v>
      </c>
      <c r="E285" s="26" t="s">
        <v>47</v>
      </c>
      <c r="F285" s="26" t="s">
        <v>48</v>
      </c>
    </row>
    <row r="286" spans="1:6" x14ac:dyDescent="0.3">
      <c r="A286" s="26" t="s">
        <v>875</v>
      </c>
      <c r="B286" s="26" t="s">
        <v>876</v>
      </c>
      <c r="C286" s="26" t="s">
        <v>877</v>
      </c>
      <c r="D286" s="26" t="s">
        <v>47</v>
      </c>
      <c r="E286" s="26" t="s">
        <v>47</v>
      </c>
      <c r="F286" s="26" t="s">
        <v>48</v>
      </c>
    </row>
    <row r="287" spans="1:6" x14ac:dyDescent="0.3">
      <c r="A287" s="26" t="s">
        <v>878</v>
      </c>
      <c r="B287" s="26" t="s">
        <v>879</v>
      </c>
      <c r="C287" s="26" t="s">
        <v>880</v>
      </c>
      <c r="D287" s="26" t="s">
        <v>47</v>
      </c>
      <c r="E287" s="26" t="s">
        <v>47</v>
      </c>
      <c r="F287" s="26" t="s">
        <v>48</v>
      </c>
    </row>
    <row r="288" spans="1:6" x14ac:dyDescent="0.3">
      <c r="A288" s="26" t="s">
        <v>881</v>
      </c>
      <c r="B288" s="26" t="s">
        <v>882</v>
      </c>
      <c r="C288" s="26" t="s">
        <v>883</v>
      </c>
      <c r="D288" s="26" t="s">
        <v>47</v>
      </c>
      <c r="E288" s="26" t="s">
        <v>47</v>
      </c>
      <c r="F288" s="26" t="s">
        <v>48</v>
      </c>
    </row>
    <row r="289" spans="1:6" x14ac:dyDescent="0.3">
      <c r="A289" s="26" t="s">
        <v>884</v>
      </c>
      <c r="B289" s="26" t="s">
        <v>885</v>
      </c>
      <c r="C289" s="26" t="s">
        <v>886</v>
      </c>
      <c r="D289" s="26" t="s">
        <v>47</v>
      </c>
      <c r="E289" s="26" t="s">
        <v>47</v>
      </c>
      <c r="F289" s="26" t="s">
        <v>48</v>
      </c>
    </row>
    <row r="290" spans="1:6" x14ac:dyDescent="0.3">
      <c r="A290" s="26" t="s">
        <v>887</v>
      </c>
      <c r="B290" s="26" t="s">
        <v>888</v>
      </c>
      <c r="C290" s="26" t="s">
        <v>889</v>
      </c>
      <c r="D290" s="26" t="s">
        <v>47</v>
      </c>
      <c r="E290" s="26" t="s">
        <v>47</v>
      </c>
      <c r="F290" s="26" t="s">
        <v>48</v>
      </c>
    </row>
    <row r="291" spans="1:6" x14ac:dyDescent="0.3">
      <c r="A291" s="26" t="s">
        <v>890</v>
      </c>
      <c r="B291" s="26" t="s">
        <v>891</v>
      </c>
      <c r="C291" s="26" t="s">
        <v>892</v>
      </c>
      <c r="D291" s="26" t="s">
        <v>47</v>
      </c>
      <c r="E291" s="26" t="s">
        <v>47</v>
      </c>
      <c r="F291" s="26" t="s">
        <v>48</v>
      </c>
    </row>
    <row r="292" spans="1:6" x14ac:dyDescent="0.3">
      <c r="A292" s="26" t="s">
        <v>893</v>
      </c>
      <c r="B292" s="26" t="s">
        <v>894</v>
      </c>
      <c r="C292" s="26" t="s">
        <v>895</v>
      </c>
      <c r="D292" s="26" t="s">
        <v>47</v>
      </c>
      <c r="E292" s="26" t="s">
        <v>47</v>
      </c>
      <c r="F292" s="26" t="s">
        <v>48</v>
      </c>
    </row>
    <row r="293" spans="1:6" x14ac:dyDescent="0.3">
      <c r="A293" s="26" t="s">
        <v>896</v>
      </c>
      <c r="B293" s="26" t="s">
        <v>897</v>
      </c>
      <c r="C293" s="26" t="s">
        <v>898</v>
      </c>
      <c r="D293" s="26" t="s">
        <v>47</v>
      </c>
      <c r="E293" s="26" t="s">
        <v>47</v>
      </c>
      <c r="F293" s="26" t="s">
        <v>48</v>
      </c>
    </row>
    <row r="294" spans="1:6" x14ac:dyDescent="0.3">
      <c r="A294" s="26" t="s">
        <v>899</v>
      </c>
      <c r="B294" s="26" t="s">
        <v>900</v>
      </c>
      <c r="C294" s="26" t="s">
        <v>901</v>
      </c>
      <c r="D294" s="26" t="s">
        <v>47</v>
      </c>
      <c r="E294" s="26" t="s">
        <v>47</v>
      </c>
      <c r="F294" s="26" t="s">
        <v>48</v>
      </c>
    </row>
    <row r="295" spans="1:6" x14ac:dyDescent="0.3">
      <c r="A295" s="26" t="s">
        <v>902</v>
      </c>
      <c r="B295" s="26" t="s">
        <v>903</v>
      </c>
      <c r="C295" s="26" t="s">
        <v>904</v>
      </c>
      <c r="D295" s="26" t="s">
        <v>47</v>
      </c>
      <c r="E295" s="26" t="s">
        <v>47</v>
      </c>
      <c r="F295" s="26" t="s">
        <v>48</v>
      </c>
    </row>
    <row r="296" spans="1:6" x14ac:dyDescent="0.3">
      <c r="A296" s="26" t="s">
        <v>905</v>
      </c>
      <c r="B296" s="26" t="s">
        <v>906</v>
      </c>
      <c r="C296" s="26" t="s">
        <v>907</v>
      </c>
      <c r="D296" s="26" t="s">
        <v>47</v>
      </c>
      <c r="E296" s="26" t="s">
        <v>47</v>
      </c>
      <c r="F296" s="26" t="s">
        <v>48</v>
      </c>
    </row>
    <row r="297" spans="1:6" x14ac:dyDescent="0.3">
      <c r="A297" s="26" t="s">
        <v>908</v>
      </c>
      <c r="B297" s="26" t="s">
        <v>909</v>
      </c>
      <c r="C297" s="26" t="s">
        <v>910</v>
      </c>
      <c r="D297" s="26" t="s">
        <v>47</v>
      </c>
      <c r="E297" s="26" t="s">
        <v>47</v>
      </c>
      <c r="F297" s="26" t="s">
        <v>48</v>
      </c>
    </row>
    <row r="298" spans="1:6" x14ac:dyDescent="0.3">
      <c r="A298" s="26" t="s">
        <v>911</v>
      </c>
      <c r="B298" s="26" t="s">
        <v>912</v>
      </c>
      <c r="C298" s="26" t="s">
        <v>913</v>
      </c>
      <c r="D298" s="26" t="s">
        <v>47</v>
      </c>
      <c r="E298" s="26" t="s">
        <v>47</v>
      </c>
      <c r="F298" s="26" t="s">
        <v>48</v>
      </c>
    </row>
    <row r="299" spans="1:6" x14ac:dyDescent="0.3">
      <c r="A299" s="26" t="s">
        <v>914</v>
      </c>
      <c r="B299" s="26" t="s">
        <v>915</v>
      </c>
      <c r="C299" s="26" t="s">
        <v>916</v>
      </c>
      <c r="D299" s="26" t="s">
        <v>47</v>
      </c>
      <c r="E299" s="26" t="s">
        <v>47</v>
      </c>
      <c r="F299" s="26" t="s">
        <v>48</v>
      </c>
    </row>
    <row r="300" spans="1:6" x14ac:dyDescent="0.3">
      <c r="A300" s="26" t="s">
        <v>917</v>
      </c>
      <c r="B300" s="26" t="s">
        <v>918</v>
      </c>
      <c r="C300" s="26" t="s">
        <v>919</v>
      </c>
      <c r="D300" s="26" t="s">
        <v>47</v>
      </c>
      <c r="E300" s="26" t="s">
        <v>47</v>
      </c>
      <c r="F300" s="26" t="s">
        <v>48</v>
      </c>
    </row>
    <row r="301" spans="1:6" x14ac:dyDescent="0.3">
      <c r="A301" s="26" t="s">
        <v>920</v>
      </c>
      <c r="B301" s="26" t="s">
        <v>921</v>
      </c>
      <c r="C301" s="26" t="s">
        <v>916</v>
      </c>
      <c r="D301" s="26" t="s">
        <v>47</v>
      </c>
      <c r="E301" s="26" t="s">
        <v>47</v>
      </c>
      <c r="F301" s="26" t="s">
        <v>48</v>
      </c>
    </row>
    <row r="302" spans="1:6" x14ac:dyDescent="0.3">
      <c r="A302" s="26" t="s">
        <v>922</v>
      </c>
      <c r="B302" s="26" t="s">
        <v>923</v>
      </c>
      <c r="C302" s="26" t="s">
        <v>124</v>
      </c>
      <c r="D302" s="26" t="s">
        <v>120</v>
      </c>
      <c r="E302" s="26" t="s">
        <v>120</v>
      </c>
      <c r="F302" s="26" t="s">
        <v>141</v>
      </c>
    </row>
    <row r="303" spans="1:6" x14ac:dyDescent="0.3">
      <c r="A303" s="26" t="s">
        <v>924</v>
      </c>
      <c r="B303" s="26" t="s">
        <v>925</v>
      </c>
      <c r="C303" s="26" t="s">
        <v>55</v>
      </c>
      <c r="D303" s="26" t="s">
        <v>47</v>
      </c>
      <c r="E303" s="26" t="s">
        <v>47</v>
      </c>
      <c r="F303" s="26" t="s">
        <v>48</v>
      </c>
    </row>
    <row r="304" spans="1:6" x14ac:dyDescent="0.3">
      <c r="A304" s="26" t="s">
        <v>926</v>
      </c>
      <c r="B304" s="26" t="s">
        <v>927</v>
      </c>
      <c r="C304" s="26" t="s">
        <v>928</v>
      </c>
      <c r="D304" s="26" t="s">
        <v>47</v>
      </c>
      <c r="E304" s="26" t="s">
        <v>47</v>
      </c>
      <c r="F304" s="26" t="s">
        <v>48</v>
      </c>
    </row>
    <row r="305" spans="1:6" x14ac:dyDescent="0.3">
      <c r="A305" s="26" t="s">
        <v>929</v>
      </c>
      <c r="B305" s="26" t="s">
        <v>930</v>
      </c>
      <c r="C305" s="26" t="s">
        <v>931</v>
      </c>
      <c r="D305" s="26" t="s">
        <v>47</v>
      </c>
      <c r="E305" s="26" t="s">
        <v>47</v>
      </c>
      <c r="F305" s="26" t="s">
        <v>48</v>
      </c>
    </row>
    <row r="306" spans="1:6" x14ac:dyDescent="0.3">
      <c r="A306" s="26" t="s">
        <v>932</v>
      </c>
      <c r="B306" s="26" t="s">
        <v>933</v>
      </c>
      <c r="C306" s="26" t="s">
        <v>934</v>
      </c>
      <c r="D306" s="26" t="s">
        <v>47</v>
      </c>
      <c r="E306" s="26" t="s">
        <v>47</v>
      </c>
      <c r="F306" s="26" t="s">
        <v>48</v>
      </c>
    </row>
    <row r="307" spans="1:6" x14ac:dyDescent="0.3">
      <c r="A307" s="26" t="s">
        <v>935</v>
      </c>
      <c r="B307" s="26" t="s">
        <v>936</v>
      </c>
      <c r="C307" s="26" t="s">
        <v>937</v>
      </c>
      <c r="D307" s="26" t="s">
        <v>47</v>
      </c>
      <c r="E307" s="26" t="s">
        <v>47</v>
      </c>
      <c r="F307" s="26" t="s">
        <v>48</v>
      </c>
    </row>
    <row r="308" spans="1:6" x14ac:dyDescent="0.3">
      <c r="A308" s="26" t="s">
        <v>938</v>
      </c>
      <c r="B308" s="26" t="s">
        <v>939</v>
      </c>
      <c r="C308" s="26" t="s">
        <v>940</v>
      </c>
      <c r="D308" s="26" t="s">
        <v>47</v>
      </c>
      <c r="E308" s="26" t="s">
        <v>47</v>
      </c>
      <c r="F308" s="26" t="s">
        <v>48</v>
      </c>
    </row>
    <row r="309" spans="1:6" x14ac:dyDescent="0.3">
      <c r="A309" s="26" t="s">
        <v>941</v>
      </c>
      <c r="B309" s="26" t="s">
        <v>942</v>
      </c>
      <c r="C309" s="26" t="s">
        <v>943</v>
      </c>
      <c r="D309" s="26" t="s">
        <v>47</v>
      </c>
      <c r="E309" s="26" t="s">
        <v>47</v>
      </c>
      <c r="F309" s="26" t="s">
        <v>48</v>
      </c>
    </row>
    <row r="310" spans="1:6" x14ac:dyDescent="0.3">
      <c r="A310" s="26" t="s">
        <v>944</v>
      </c>
      <c r="B310" s="26" t="s">
        <v>945</v>
      </c>
      <c r="C310" s="26" t="s">
        <v>946</v>
      </c>
      <c r="D310" s="26" t="s">
        <v>47</v>
      </c>
      <c r="E310" s="26" t="s">
        <v>47</v>
      </c>
      <c r="F310" s="26" t="s">
        <v>48</v>
      </c>
    </row>
    <row r="311" spans="1:6" x14ac:dyDescent="0.3">
      <c r="A311" s="26" t="s">
        <v>947</v>
      </c>
      <c r="B311" s="26" t="s">
        <v>948</v>
      </c>
      <c r="C311" s="26" t="s">
        <v>949</v>
      </c>
      <c r="D311" s="26" t="s">
        <v>47</v>
      </c>
      <c r="E311" s="26" t="s">
        <v>47</v>
      </c>
      <c r="F311" s="26" t="s">
        <v>48</v>
      </c>
    </row>
    <row r="312" spans="1:6" x14ac:dyDescent="0.3">
      <c r="A312" s="26" t="s">
        <v>950</v>
      </c>
      <c r="B312" s="26" t="s">
        <v>951</v>
      </c>
      <c r="C312" s="26" t="s">
        <v>952</v>
      </c>
      <c r="D312" s="26" t="s">
        <v>47</v>
      </c>
      <c r="E312" s="26" t="s">
        <v>47</v>
      </c>
      <c r="F312" s="26" t="s">
        <v>48</v>
      </c>
    </row>
    <row r="313" spans="1:6" x14ac:dyDescent="0.3">
      <c r="A313" s="26" t="s">
        <v>953</v>
      </c>
      <c r="B313" s="26" t="s">
        <v>954</v>
      </c>
      <c r="C313" s="26" t="s">
        <v>955</v>
      </c>
      <c r="D313" s="26" t="s">
        <v>47</v>
      </c>
      <c r="E313" s="26" t="s">
        <v>47</v>
      </c>
      <c r="F313" s="26" t="s">
        <v>48</v>
      </c>
    </row>
    <row r="314" spans="1:6" x14ac:dyDescent="0.3">
      <c r="A314" s="26" t="s">
        <v>956</v>
      </c>
      <c r="B314" s="26" t="s">
        <v>957</v>
      </c>
      <c r="C314" s="26" t="s">
        <v>958</v>
      </c>
      <c r="D314" s="26" t="s">
        <v>47</v>
      </c>
      <c r="E314" s="26" t="s">
        <v>47</v>
      </c>
      <c r="F314" s="26" t="s">
        <v>48</v>
      </c>
    </row>
    <row r="315" spans="1:6" x14ac:dyDescent="0.3">
      <c r="A315" s="26" t="s">
        <v>959</v>
      </c>
      <c r="B315" s="26" t="s">
        <v>960</v>
      </c>
      <c r="C315" s="26" t="s">
        <v>961</v>
      </c>
      <c r="D315" s="26" t="s">
        <v>47</v>
      </c>
      <c r="E315" s="26" t="s">
        <v>47</v>
      </c>
      <c r="F315" s="26" t="s">
        <v>48</v>
      </c>
    </row>
    <row r="316" spans="1:6" x14ac:dyDescent="0.3">
      <c r="A316" s="26" t="s">
        <v>962</v>
      </c>
      <c r="B316" s="26" t="s">
        <v>963</v>
      </c>
      <c r="C316" s="26" t="s">
        <v>964</v>
      </c>
      <c r="D316" s="26" t="s">
        <v>47</v>
      </c>
      <c r="E316" s="26" t="s">
        <v>47</v>
      </c>
      <c r="F316" s="26" t="s">
        <v>48</v>
      </c>
    </row>
    <row r="317" spans="1:6" x14ac:dyDescent="0.3">
      <c r="A317" s="26" t="s">
        <v>965</v>
      </c>
      <c r="B317" s="26" t="s">
        <v>966</v>
      </c>
      <c r="C317" s="26" t="s">
        <v>967</v>
      </c>
      <c r="D317" s="26" t="s">
        <v>47</v>
      </c>
      <c r="E317" s="26" t="s">
        <v>47</v>
      </c>
      <c r="F317" s="26" t="s">
        <v>48</v>
      </c>
    </row>
    <row r="318" spans="1:6" x14ac:dyDescent="0.3">
      <c r="A318" s="26" t="s">
        <v>968</v>
      </c>
      <c r="B318" s="26" t="s">
        <v>969</v>
      </c>
      <c r="C318" s="26" t="s">
        <v>970</v>
      </c>
      <c r="D318" s="26" t="s">
        <v>47</v>
      </c>
      <c r="E318" s="26" t="s">
        <v>47</v>
      </c>
      <c r="F318" s="26" t="s">
        <v>48</v>
      </c>
    </row>
    <row r="319" spans="1:6" x14ac:dyDescent="0.3">
      <c r="A319" s="26" t="s">
        <v>971</v>
      </c>
      <c r="B319" s="26" t="s">
        <v>972</v>
      </c>
      <c r="C319" s="26" t="s">
        <v>973</v>
      </c>
      <c r="D319" s="26" t="s">
        <v>47</v>
      </c>
      <c r="E319" s="26" t="s">
        <v>47</v>
      </c>
      <c r="F319" s="26" t="s">
        <v>48</v>
      </c>
    </row>
    <row r="320" spans="1:6" x14ac:dyDescent="0.3">
      <c r="A320" s="26" t="s">
        <v>974</v>
      </c>
      <c r="B320" s="26" t="s">
        <v>975</v>
      </c>
      <c r="C320" s="26" t="s">
        <v>976</v>
      </c>
      <c r="D320" s="26" t="s">
        <v>47</v>
      </c>
      <c r="E320" s="26" t="s">
        <v>47</v>
      </c>
      <c r="F320" s="26" t="s">
        <v>48</v>
      </c>
    </row>
    <row r="321" spans="1:6" x14ac:dyDescent="0.3">
      <c r="A321" s="26" t="s">
        <v>977</v>
      </c>
      <c r="B321" s="26" t="s">
        <v>978</v>
      </c>
      <c r="C321" s="26" t="s">
        <v>979</v>
      </c>
      <c r="D321" s="26" t="s">
        <v>47</v>
      </c>
      <c r="E321" s="26" t="s">
        <v>47</v>
      </c>
      <c r="F321" s="26" t="s">
        <v>48</v>
      </c>
    </row>
    <row r="322" spans="1:6" x14ac:dyDescent="0.3">
      <c r="A322" s="26" t="s">
        <v>980</v>
      </c>
      <c r="B322" s="26" t="s">
        <v>981</v>
      </c>
      <c r="C322" s="26" t="s">
        <v>982</v>
      </c>
      <c r="D322" s="26" t="s">
        <v>47</v>
      </c>
      <c r="E322" s="26" t="s">
        <v>47</v>
      </c>
      <c r="F322" s="26" t="s">
        <v>48</v>
      </c>
    </row>
    <row r="323" spans="1:6" x14ac:dyDescent="0.3">
      <c r="A323" s="26" t="s">
        <v>983</v>
      </c>
      <c r="B323" s="26" t="s">
        <v>984</v>
      </c>
      <c r="C323" s="26" t="s">
        <v>985</v>
      </c>
      <c r="D323" s="26" t="s">
        <v>47</v>
      </c>
      <c r="E323" s="26" t="s">
        <v>47</v>
      </c>
      <c r="F323" s="26" t="s">
        <v>48</v>
      </c>
    </row>
    <row r="324" spans="1:6" x14ac:dyDescent="0.3">
      <c r="A324" s="26" t="s">
        <v>986</v>
      </c>
      <c r="B324" s="26" t="s">
        <v>987</v>
      </c>
      <c r="C324" s="26" t="s">
        <v>988</v>
      </c>
      <c r="D324" s="26" t="s">
        <v>47</v>
      </c>
      <c r="E324" s="26" t="s">
        <v>47</v>
      </c>
      <c r="F324" s="26" t="s">
        <v>48</v>
      </c>
    </row>
    <row r="325" spans="1:6" x14ac:dyDescent="0.3">
      <c r="A325" s="26" t="s">
        <v>989</v>
      </c>
      <c r="B325" s="26" t="s">
        <v>990</v>
      </c>
      <c r="C325" s="26" t="s">
        <v>991</v>
      </c>
      <c r="D325" s="26" t="s">
        <v>47</v>
      </c>
      <c r="E325" s="26" t="s">
        <v>47</v>
      </c>
      <c r="F325" s="26" t="s">
        <v>48</v>
      </c>
    </row>
    <row r="326" spans="1:6" x14ac:dyDescent="0.3">
      <c r="A326" s="26" t="s">
        <v>992</v>
      </c>
      <c r="B326" s="26" t="s">
        <v>993</v>
      </c>
      <c r="C326" s="26" t="s">
        <v>994</v>
      </c>
      <c r="D326" s="26" t="s">
        <v>47</v>
      </c>
      <c r="E326" s="26" t="s">
        <v>47</v>
      </c>
      <c r="F326" s="26" t="s">
        <v>48</v>
      </c>
    </row>
    <row r="327" spans="1:6" x14ac:dyDescent="0.3">
      <c r="A327" s="26" t="s">
        <v>995</v>
      </c>
      <c r="B327" s="26" t="s">
        <v>996</v>
      </c>
      <c r="C327" s="26" t="s">
        <v>997</v>
      </c>
      <c r="D327" s="26" t="s">
        <v>47</v>
      </c>
      <c r="E327" s="26" t="s">
        <v>47</v>
      </c>
      <c r="F327" s="26" t="s">
        <v>48</v>
      </c>
    </row>
    <row r="328" spans="1:6" x14ac:dyDescent="0.3">
      <c r="A328" s="26" t="s">
        <v>998</v>
      </c>
      <c r="B328" s="26" t="s">
        <v>999</v>
      </c>
      <c r="C328" s="26" t="s">
        <v>1000</v>
      </c>
      <c r="D328" s="26" t="s">
        <v>47</v>
      </c>
      <c r="E328" s="26" t="s">
        <v>47</v>
      </c>
      <c r="F328" s="26" t="s">
        <v>48</v>
      </c>
    </row>
    <row r="329" spans="1:6" x14ac:dyDescent="0.3">
      <c r="A329" s="26" t="s">
        <v>1001</v>
      </c>
      <c r="B329" s="26" t="s">
        <v>1002</v>
      </c>
      <c r="C329" s="26" t="s">
        <v>1003</v>
      </c>
      <c r="D329" s="26" t="s">
        <v>47</v>
      </c>
      <c r="E329" s="26" t="s">
        <v>47</v>
      </c>
      <c r="F329" s="26" t="s">
        <v>48</v>
      </c>
    </row>
    <row r="330" spans="1:6" x14ac:dyDescent="0.3">
      <c r="A330" s="26" t="s">
        <v>1004</v>
      </c>
      <c r="B330" s="26" t="s">
        <v>1005</v>
      </c>
      <c r="C330" s="26" t="s">
        <v>1006</v>
      </c>
      <c r="D330" s="26" t="s">
        <v>47</v>
      </c>
      <c r="E330" s="26" t="s">
        <v>47</v>
      </c>
      <c r="F330" s="26" t="s">
        <v>48</v>
      </c>
    </row>
    <row r="331" spans="1:6" x14ac:dyDescent="0.3">
      <c r="A331" s="26" t="s">
        <v>1007</v>
      </c>
      <c r="B331" s="26" t="s">
        <v>1008</v>
      </c>
      <c r="C331" s="26" t="s">
        <v>1009</v>
      </c>
      <c r="D331" s="26" t="s">
        <v>47</v>
      </c>
      <c r="E331" s="26" t="s">
        <v>47</v>
      </c>
      <c r="F331" s="26" t="s">
        <v>48</v>
      </c>
    </row>
    <row r="332" spans="1:6" x14ac:dyDescent="0.3">
      <c r="A332" s="26" t="s">
        <v>1010</v>
      </c>
      <c r="B332" s="26" t="s">
        <v>1011</v>
      </c>
      <c r="C332" s="26" t="s">
        <v>1012</v>
      </c>
      <c r="D332" s="26" t="s">
        <v>47</v>
      </c>
      <c r="E332" s="26" t="s">
        <v>47</v>
      </c>
      <c r="F332" s="26" t="s">
        <v>48</v>
      </c>
    </row>
    <row r="333" spans="1:6" x14ac:dyDescent="0.3">
      <c r="A333" s="26" t="s">
        <v>1013</v>
      </c>
      <c r="B333" s="26" t="s">
        <v>1014</v>
      </c>
      <c r="C333" s="26" t="s">
        <v>1015</v>
      </c>
      <c r="D333" s="26" t="s">
        <v>47</v>
      </c>
      <c r="E333" s="26" t="s">
        <v>47</v>
      </c>
      <c r="F333" s="26" t="s">
        <v>48</v>
      </c>
    </row>
    <row r="334" spans="1:6" x14ac:dyDescent="0.3">
      <c r="A334" s="26" t="s">
        <v>1016</v>
      </c>
      <c r="B334" s="26" t="s">
        <v>1017</v>
      </c>
      <c r="C334" s="26" t="s">
        <v>1018</v>
      </c>
      <c r="D334" s="26" t="s">
        <v>47</v>
      </c>
      <c r="E334" s="26" t="s">
        <v>47</v>
      </c>
      <c r="F334" s="26" t="s">
        <v>48</v>
      </c>
    </row>
    <row r="335" spans="1:6" x14ac:dyDescent="0.3">
      <c r="A335" s="26" t="s">
        <v>1019</v>
      </c>
      <c r="B335" s="26" t="s">
        <v>1020</v>
      </c>
      <c r="C335" s="26" t="s">
        <v>1021</v>
      </c>
      <c r="D335" s="26" t="s">
        <v>47</v>
      </c>
      <c r="E335" s="26" t="s">
        <v>47</v>
      </c>
      <c r="F335" s="26" t="s">
        <v>48</v>
      </c>
    </row>
    <row r="336" spans="1:6" x14ac:dyDescent="0.3">
      <c r="A336" s="26" t="s">
        <v>1022</v>
      </c>
      <c r="B336" s="26" t="s">
        <v>1023</v>
      </c>
      <c r="C336" s="26" t="s">
        <v>1024</v>
      </c>
      <c r="D336" s="26" t="s">
        <v>47</v>
      </c>
      <c r="E336" s="26" t="s">
        <v>47</v>
      </c>
      <c r="F336" s="26" t="s">
        <v>48</v>
      </c>
    </row>
    <row r="337" spans="1:6" x14ac:dyDescent="0.3">
      <c r="A337" s="26" t="s">
        <v>1025</v>
      </c>
      <c r="B337" s="26" t="s">
        <v>1026</v>
      </c>
      <c r="C337" s="26" t="s">
        <v>1027</v>
      </c>
      <c r="D337" s="26" t="s">
        <v>47</v>
      </c>
      <c r="E337" s="26" t="s">
        <v>47</v>
      </c>
      <c r="F337" s="26" t="s">
        <v>48</v>
      </c>
    </row>
    <row r="338" spans="1:6" x14ac:dyDescent="0.3">
      <c r="A338" s="26" t="s">
        <v>1028</v>
      </c>
      <c r="B338" s="26" t="s">
        <v>1029</v>
      </c>
      <c r="C338" s="26" t="s">
        <v>1030</v>
      </c>
      <c r="D338" s="26" t="s">
        <v>47</v>
      </c>
      <c r="E338" s="26" t="s">
        <v>47</v>
      </c>
      <c r="F338" s="26" t="s">
        <v>48</v>
      </c>
    </row>
    <row r="339" spans="1:6" x14ac:dyDescent="0.3">
      <c r="A339" s="26" t="s">
        <v>1031</v>
      </c>
      <c r="B339" s="26" t="s">
        <v>1032</v>
      </c>
      <c r="C339" s="26" t="s">
        <v>1033</v>
      </c>
      <c r="D339" s="26" t="s">
        <v>47</v>
      </c>
      <c r="E339" s="26" t="s">
        <v>47</v>
      </c>
      <c r="F339" s="26" t="s">
        <v>48</v>
      </c>
    </row>
    <row r="340" spans="1:6" x14ac:dyDescent="0.3">
      <c r="A340" s="26" t="s">
        <v>1034</v>
      </c>
      <c r="B340" s="26" t="s">
        <v>1035</v>
      </c>
      <c r="C340" s="26" t="s">
        <v>1036</v>
      </c>
      <c r="D340" s="26" t="s">
        <v>47</v>
      </c>
      <c r="E340" s="26" t="s">
        <v>47</v>
      </c>
      <c r="F340" s="26" t="s">
        <v>48</v>
      </c>
    </row>
    <row r="341" spans="1:6" x14ac:dyDescent="0.3">
      <c r="A341" s="26" t="s">
        <v>1037</v>
      </c>
      <c r="B341" s="26" t="s">
        <v>1038</v>
      </c>
      <c r="C341" s="26" t="s">
        <v>1039</v>
      </c>
      <c r="D341" s="26" t="s">
        <v>47</v>
      </c>
      <c r="E341" s="26" t="s">
        <v>47</v>
      </c>
      <c r="F341" s="26" t="s">
        <v>48</v>
      </c>
    </row>
    <row r="342" spans="1:6" x14ac:dyDescent="0.3">
      <c r="A342" s="26" t="s">
        <v>1040</v>
      </c>
      <c r="B342" s="26" t="s">
        <v>1041</v>
      </c>
      <c r="C342" s="26" t="s">
        <v>1042</v>
      </c>
      <c r="D342" s="26" t="s">
        <v>47</v>
      </c>
      <c r="E342" s="26" t="s">
        <v>47</v>
      </c>
      <c r="F342" s="26" t="s">
        <v>48</v>
      </c>
    </row>
    <row r="343" spans="1:6" x14ac:dyDescent="0.3">
      <c r="A343" s="26" t="s">
        <v>1043</v>
      </c>
      <c r="B343" s="26" t="s">
        <v>1044</v>
      </c>
      <c r="C343" s="26" t="s">
        <v>1045</v>
      </c>
      <c r="D343" s="26" t="s">
        <v>47</v>
      </c>
      <c r="E343" s="26" t="s">
        <v>47</v>
      </c>
      <c r="F343" s="26" t="s">
        <v>48</v>
      </c>
    </row>
    <row r="344" spans="1:6" x14ac:dyDescent="0.3">
      <c r="A344" s="26" t="s">
        <v>1046</v>
      </c>
      <c r="B344" s="26" t="s">
        <v>1047</v>
      </c>
      <c r="C344" s="26" t="s">
        <v>1048</v>
      </c>
      <c r="D344" s="26" t="s">
        <v>47</v>
      </c>
      <c r="E344" s="26" t="s">
        <v>47</v>
      </c>
      <c r="F344" s="26" t="s">
        <v>48</v>
      </c>
    </row>
    <row r="345" spans="1:6" x14ac:dyDescent="0.3">
      <c r="A345" s="26" t="s">
        <v>1049</v>
      </c>
      <c r="B345" s="26" t="s">
        <v>1050</v>
      </c>
      <c r="C345" s="26" t="s">
        <v>1051</v>
      </c>
      <c r="D345" s="26" t="s">
        <v>47</v>
      </c>
      <c r="E345" s="26" t="s">
        <v>47</v>
      </c>
      <c r="F345" s="26" t="s">
        <v>48</v>
      </c>
    </row>
    <row r="346" spans="1:6" x14ac:dyDescent="0.3">
      <c r="A346" s="26" t="s">
        <v>1052</v>
      </c>
      <c r="B346" s="26" t="s">
        <v>1044</v>
      </c>
      <c r="C346" s="26" t="s">
        <v>1053</v>
      </c>
      <c r="D346" s="26" t="s">
        <v>1054</v>
      </c>
      <c r="E346" s="26" t="s">
        <v>47</v>
      </c>
      <c r="F346" s="26" t="s">
        <v>812</v>
      </c>
    </row>
    <row r="347" spans="1:6" x14ac:dyDescent="0.3">
      <c r="A347" s="26" t="s">
        <v>1055</v>
      </c>
      <c r="B347" s="26" t="s">
        <v>1056</v>
      </c>
      <c r="C347" s="26" t="s">
        <v>1057</v>
      </c>
      <c r="D347" s="26" t="s">
        <v>47</v>
      </c>
      <c r="E347" s="26" t="s">
        <v>47</v>
      </c>
      <c r="F347" s="26" t="s">
        <v>48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5AE6C-2A15-4BEC-8DC0-4ADB38655342}">
  <sheetPr>
    <tabColor theme="1"/>
  </sheetPr>
  <dimension ref="A1:S415"/>
  <sheetViews>
    <sheetView showGridLines="0" topLeftCell="G1" workbookViewId="0">
      <selection activeCell="O7" sqref="O7"/>
    </sheetView>
  </sheetViews>
  <sheetFormatPr defaultRowHeight="16.5" x14ac:dyDescent="0.3"/>
  <cols>
    <col min="14" max="14" width="5.25" bestFit="1" customWidth="1"/>
    <col min="15" max="15" width="10.625" bestFit="1" customWidth="1"/>
    <col min="16" max="16" width="13.375" bestFit="1" customWidth="1"/>
    <col min="17" max="17" width="13.125" bestFit="1" customWidth="1"/>
    <col min="18" max="18" width="11.875" bestFit="1" customWidth="1"/>
    <col min="19" max="19" width="9.5" bestFit="1" customWidth="1"/>
    <col min="20" max="20" width="15.125" bestFit="1" customWidth="1"/>
    <col min="21" max="21" width="9.25" bestFit="1" customWidth="1"/>
    <col min="22" max="22" width="14" bestFit="1" customWidth="1"/>
    <col min="23" max="23" width="10.75" bestFit="1" customWidth="1"/>
  </cols>
  <sheetData>
    <row r="1" spans="1:19" x14ac:dyDescent="0.3">
      <c r="A1" s="86" t="s">
        <v>1065</v>
      </c>
      <c r="B1" s="86" t="s">
        <v>1066</v>
      </c>
      <c r="C1" s="86" t="s">
        <v>38</v>
      </c>
      <c r="D1" s="86" t="s">
        <v>40</v>
      </c>
      <c r="E1" s="86" t="s">
        <v>39</v>
      </c>
      <c r="F1" s="86" t="s">
        <v>1067</v>
      </c>
      <c r="G1" s="86" t="s">
        <v>1068</v>
      </c>
      <c r="H1" s="86" t="s">
        <v>1069</v>
      </c>
      <c r="I1" t="s">
        <v>1070</v>
      </c>
      <c r="J1" t="s">
        <v>1071</v>
      </c>
      <c r="K1" t="s">
        <v>1072</v>
      </c>
      <c r="L1" t="s">
        <v>1073</v>
      </c>
      <c r="M1" t="s">
        <v>1074</v>
      </c>
      <c r="N1" s="86" t="s">
        <v>1075</v>
      </c>
      <c r="O1" s="72" t="s">
        <v>1087</v>
      </c>
      <c r="P1" s="72" t="s">
        <v>1084</v>
      </c>
      <c r="Q1" s="71"/>
      <c r="R1" s="71"/>
      <c r="S1" s="71"/>
    </row>
    <row r="2" spans="1:19" x14ac:dyDescent="0.3">
      <c r="A2" s="86" t="s">
        <v>1076</v>
      </c>
      <c r="B2" s="86" t="s">
        <v>47</v>
      </c>
      <c r="C2" s="86" t="s">
        <v>192</v>
      </c>
      <c r="D2" s="86" t="s">
        <v>194</v>
      </c>
      <c r="E2" s="86" t="s">
        <v>193</v>
      </c>
      <c r="F2" s="86" t="s">
        <v>47</v>
      </c>
      <c r="G2" s="86" t="s">
        <v>48</v>
      </c>
      <c r="H2" s="86" t="s">
        <v>141</v>
      </c>
      <c r="I2">
        <v>0</v>
      </c>
      <c r="J2">
        <v>0</v>
      </c>
      <c r="K2">
        <v>0</v>
      </c>
      <c r="L2">
        <v>0</v>
      </c>
      <c r="M2">
        <v>0</v>
      </c>
      <c r="N2" s="86" t="s">
        <v>1077</v>
      </c>
      <c r="O2" s="72" t="s">
        <v>1086</v>
      </c>
      <c r="P2" s="71" t="s">
        <v>1081</v>
      </c>
      <c r="Q2" s="71" t="s">
        <v>1082</v>
      </c>
      <c r="R2" s="71" t="s">
        <v>1078</v>
      </c>
      <c r="S2" s="71" t="s">
        <v>1085</v>
      </c>
    </row>
    <row r="3" spans="1:19" x14ac:dyDescent="0.3">
      <c r="A3" s="86" t="s">
        <v>1076</v>
      </c>
      <c r="B3" s="86" t="s">
        <v>47</v>
      </c>
      <c r="C3" s="86" t="s">
        <v>252</v>
      </c>
      <c r="D3" s="86" t="s">
        <v>254</v>
      </c>
      <c r="E3" s="86" t="s">
        <v>253</v>
      </c>
      <c r="F3" s="86" t="s">
        <v>47</v>
      </c>
      <c r="G3" s="86" t="s">
        <v>48</v>
      </c>
      <c r="H3" s="86" t="s">
        <v>141</v>
      </c>
      <c r="I3">
        <v>0</v>
      </c>
      <c r="J3">
        <v>0</v>
      </c>
      <c r="K3">
        <v>0</v>
      </c>
      <c r="L3">
        <v>0</v>
      </c>
      <c r="M3">
        <v>0</v>
      </c>
      <c r="N3" s="86" t="s">
        <v>1077</v>
      </c>
      <c r="O3" s="73" t="s">
        <v>56</v>
      </c>
      <c r="P3" s="71">
        <v>677965</v>
      </c>
      <c r="Q3" s="71">
        <v>0</v>
      </c>
      <c r="R3" s="71">
        <v>1200030</v>
      </c>
      <c r="S3" s="71">
        <v>1877995</v>
      </c>
    </row>
    <row r="4" spans="1:19" x14ac:dyDescent="0.3">
      <c r="A4" s="86" t="s">
        <v>1076</v>
      </c>
      <c r="B4" s="86" t="s">
        <v>47</v>
      </c>
      <c r="C4" s="86" t="s">
        <v>420</v>
      </c>
      <c r="D4" s="86" t="s">
        <v>422</v>
      </c>
      <c r="E4" s="86" t="s">
        <v>421</v>
      </c>
      <c r="F4" s="86" t="s">
        <v>47</v>
      </c>
      <c r="G4" s="86" t="s">
        <v>48</v>
      </c>
      <c r="H4" s="86" t="s">
        <v>141</v>
      </c>
      <c r="I4">
        <v>0</v>
      </c>
      <c r="J4">
        <v>0</v>
      </c>
      <c r="K4">
        <v>0</v>
      </c>
      <c r="L4">
        <v>0</v>
      </c>
      <c r="M4">
        <v>0</v>
      </c>
      <c r="N4" s="86" t="s">
        <v>1077</v>
      </c>
      <c r="O4" s="73" t="s">
        <v>59</v>
      </c>
      <c r="P4" s="71"/>
      <c r="Q4" s="71">
        <v>89788</v>
      </c>
      <c r="R4" s="71">
        <v>100000</v>
      </c>
      <c r="S4" s="71">
        <v>189788</v>
      </c>
    </row>
    <row r="5" spans="1:19" x14ac:dyDescent="0.3">
      <c r="A5" s="86" t="s">
        <v>1076</v>
      </c>
      <c r="B5" s="86" t="s">
        <v>47</v>
      </c>
      <c r="C5" s="86" t="s">
        <v>491</v>
      </c>
      <c r="D5" s="86" t="s">
        <v>493</v>
      </c>
      <c r="E5" s="86" t="s">
        <v>492</v>
      </c>
      <c r="F5" s="86" t="s">
        <v>47</v>
      </c>
      <c r="G5" s="86" t="s">
        <v>48</v>
      </c>
      <c r="H5" s="86" t="s">
        <v>141</v>
      </c>
      <c r="I5">
        <v>0</v>
      </c>
      <c r="J5">
        <v>0</v>
      </c>
      <c r="K5">
        <v>0</v>
      </c>
      <c r="L5">
        <v>0</v>
      </c>
      <c r="M5">
        <v>0</v>
      </c>
      <c r="N5" s="86" t="s">
        <v>1077</v>
      </c>
      <c r="O5" s="73" t="s">
        <v>62</v>
      </c>
      <c r="P5" s="71"/>
      <c r="Q5" s="71">
        <v>10366</v>
      </c>
      <c r="R5" s="71">
        <v>0</v>
      </c>
      <c r="S5" s="71">
        <v>10366</v>
      </c>
    </row>
    <row r="6" spans="1:19" x14ac:dyDescent="0.3">
      <c r="A6" s="86" t="s">
        <v>1076</v>
      </c>
      <c r="B6" s="86" t="s">
        <v>47</v>
      </c>
      <c r="C6" s="86" t="s">
        <v>666</v>
      </c>
      <c r="D6" s="86" t="s">
        <v>668</v>
      </c>
      <c r="E6" s="86" t="s">
        <v>667</v>
      </c>
      <c r="F6" s="86" t="s">
        <v>47</v>
      </c>
      <c r="G6" s="86" t="s">
        <v>48</v>
      </c>
      <c r="H6" s="86" t="s">
        <v>141</v>
      </c>
      <c r="I6">
        <v>0</v>
      </c>
      <c r="J6">
        <v>0</v>
      </c>
      <c r="K6">
        <v>0</v>
      </c>
      <c r="L6">
        <v>0</v>
      </c>
      <c r="M6">
        <v>0</v>
      </c>
      <c r="N6" s="86" t="s">
        <v>1077</v>
      </c>
      <c r="O6" s="73" t="s">
        <v>70</v>
      </c>
      <c r="P6" s="71"/>
      <c r="Q6" s="71"/>
      <c r="R6" s="71">
        <v>0</v>
      </c>
      <c r="S6" s="71">
        <v>0</v>
      </c>
    </row>
    <row r="7" spans="1:19" x14ac:dyDescent="0.3">
      <c r="A7" s="86" t="s">
        <v>1078</v>
      </c>
      <c r="B7" s="86" t="s">
        <v>47</v>
      </c>
      <c r="C7" s="86" t="s">
        <v>56</v>
      </c>
      <c r="D7" s="86" t="s">
        <v>58</v>
      </c>
      <c r="E7" s="86" t="s">
        <v>57</v>
      </c>
      <c r="F7" s="86" t="s">
        <v>47</v>
      </c>
      <c r="G7" s="86" t="s">
        <v>48</v>
      </c>
      <c r="H7" s="86" t="s">
        <v>141</v>
      </c>
      <c r="I7">
        <v>1560039</v>
      </c>
      <c r="J7">
        <v>0</v>
      </c>
      <c r="K7">
        <v>360009</v>
      </c>
      <c r="L7">
        <v>1200030</v>
      </c>
      <c r="M7">
        <v>0</v>
      </c>
      <c r="N7" s="86" t="s">
        <v>1077</v>
      </c>
      <c r="O7" s="73" t="s">
        <v>73</v>
      </c>
      <c r="P7" s="71"/>
      <c r="Q7" s="71">
        <v>77298</v>
      </c>
      <c r="R7" s="71">
        <v>98000</v>
      </c>
      <c r="S7" s="71">
        <v>175298</v>
      </c>
    </row>
    <row r="8" spans="1:19" x14ac:dyDescent="0.3">
      <c r="A8" s="86" t="s">
        <v>1078</v>
      </c>
      <c r="B8" s="86" t="s">
        <v>47</v>
      </c>
      <c r="C8" s="86" t="s">
        <v>59</v>
      </c>
      <c r="D8" s="86" t="s">
        <v>61</v>
      </c>
      <c r="E8" s="86" t="s">
        <v>60</v>
      </c>
      <c r="F8" s="86" t="s">
        <v>47</v>
      </c>
      <c r="G8" s="86" t="s">
        <v>48</v>
      </c>
      <c r="H8" s="86" t="s">
        <v>141</v>
      </c>
      <c r="I8">
        <v>100000</v>
      </c>
      <c r="J8">
        <v>0</v>
      </c>
      <c r="K8">
        <v>0</v>
      </c>
      <c r="L8">
        <v>100000</v>
      </c>
      <c r="M8">
        <v>0</v>
      </c>
      <c r="N8" s="86" t="s">
        <v>1077</v>
      </c>
      <c r="O8" s="73" t="s">
        <v>76</v>
      </c>
      <c r="P8" s="71"/>
      <c r="Q8" s="71"/>
      <c r="R8" s="71">
        <v>0</v>
      </c>
      <c r="S8" s="71">
        <v>0</v>
      </c>
    </row>
    <row r="9" spans="1:19" x14ac:dyDescent="0.3">
      <c r="A9" s="86" t="s">
        <v>1078</v>
      </c>
      <c r="B9" s="86" t="s">
        <v>47</v>
      </c>
      <c r="C9" s="86" t="s">
        <v>62</v>
      </c>
      <c r="D9" s="86" t="s">
        <v>64</v>
      </c>
      <c r="E9" s="86" t="s">
        <v>63</v>
      </c>
      <c r="F9" s="86" t="s">
        <v>47</v>
      </c>
      <c r="G9" s="86" t="s">
        <v>48</v>
      </c>
      <c r="H9" s="86" t="s">
        <v>141</v>
      </c>
      <c r="I9">
        <v>148000</v>
      </c>
      <c r="J9">
        <v>0</v>
      </c>
      <c r="K9">
        <v>148000</v>
      </c>
      <c r="L9">
        <v>0</v>
      </c>
      <c r="M9">
        <v>0</v>
      </c>
      <c r="N9" s="86" t="s">
        <v>1077</v>
      </c>
      <c r="O9" s="73" t="s">
        <v>79</v>
      </c>
      <c r="P9" s="71"/>
      <c r="Q9" s="71"/>
      <c r="R9" s="71">
        <v>0</v>
      </c>
      <c r="S9" s="71">
        <v>0</v>
      </c>
    </row>
    <row r="10" spans="1:19" x14ac:dyDescent="0.3">
      <c r="A10" s="86" t="s">
        <v>1078</v>
      </c>
      <c r="B10" s="86" t="s">
        <v>47</v>
      </c>
      <c r="C10" s="86" t="s">
        <v>70</v>
      </c>
      <c r="D10" s="86" t="s">
        <v>72</v>
      </c>
      <c r="E10" s="86" t="s">
        <v>71</v>
      </c>
      <c r="F10" s="86" t="s">
        <v>47</v>
      </c>
      <c r="G10" s="86" t="s">
        <v>48</v>
      </c>
      <c r="H10" s="86" t="s">
        <v>141</v>
      </c>
      <c r="I10">
        <v>0</v>
      </c>
      <c r="J10">
        <v>0</v>
      </c>
      <c r="K10">
        <v>0</v>
      </c>
      <c r="L10">
        <v>0</v>
      </c>
      <c r="M10">
        <v>0</v>
      </c>
      <c r="N10" s="86" t="s">
        <v>1077</v>
      </c>
      <c r="O10" s="73" t="s">
        <v>82</v>
      </c>
      <c r="P10" s="71"/>
      <c r="Q10" s="71"/>
      <c r="R10" s="71">
        <v>0</v>
      </c>
      <c r="S10" s="71">
        <v>0</v>
      </c>
    </row>
    <row r="11" spans="1:19" x14ac:dyDescent="0.3">
      <c r="A11" s="86" t="s">
        <v>1078</v>
      </c>
      <c r="B11" s="86" t="s">
        <v>47</v>
      </c>
      <c r="C11" s="86" t="s">
        <v>73</v>
      </c>
      <c r="D11" s="86" t="s">
        <v>75</v>
      </c>
      <c r="E11" s="86" t="s">
        <v>74</v>
      </c>
      <c r="F11" s="86" t="s">
        <v>47</v>
      </c>
      <c r="G11" s="86" t="s">
        <v>48</v>
      </c>
      <c r="H11" s="86" t="s">
        <v>141</v>
      </c>
      <c r="I11">
        <v>98000</v>
      </c>
      <c r="J11">
        <v>0</v>
      </c>
      <c r="K11">
        <v>0</v>
      </c>
      <c r="L11">
        <v>98000</v>
      </c>
      <c r="M11">
        <v>0</v>
      </c>
      <c r="N11" s="86" t="s">
        <v>1077</v>
      </c>
      <c r="O11" s="73" t="s">
        <v>106</v>
      </c>
      <c r="P11" s="71"/>
      <c r="Q11" s="71"/>
      <c r="R11" s="71">
        <v>0</v>
      </c>
      <c r="S11" s="71">
        <v>0</v>
      </c>
    </row>
    <row r="12" spans="1:19" x14ac:dyDescent="0.3">
      <c r="A12" s="86" t="s">
        <v>1078</v>
      </c>
      <c r="B12" s="86" t="s">
        <v>47</v>
      </c>
      <c r="C12" s="86" t="s">
        <v>76</v>
      </c>
      <c r="D12" s="86" t="s">
        <v>78</v>
      </c>
      <c r="E12" s="86" t="s">
        <v>77</v>
      </c>
      <c r="F12" s="86" t="s">
        <v>47</v>
      </c>
      <c r="G12" s="86" t="s">
        <v>48</v>
      </c>
      <c r="H12" s="86" t="s">
        <v>141</v>
      </c>
      <c r="I12">
        <v>0</v>
      </c>
      <c r="J12">
        <v>0</v>
      </c>
      <c r="K12">
        <v>0</v>
      </c>
      <c r="L12">
        <v>0</v>
      </c>
      <c r="M12">
        <v>0</v>
      </c>
      <c r="N12" s="86" t="s">
        <v>1077</v>
      </c>
      <c r="O12" s="73" t="s">
        <v>128</v>
      </c>
      <c r="P12" s="71"/>
      <c r="Q12" s="71">
        <v>132465</v>
      </c>
      <c r="R12" s="71">
        <v>48000</v>
      </c>
      <c r="S12" s="71">
        <v>180465</v>
      </c>
    </row>
    <row r="13" spans="1:19" x14ac:dyDescent="0.3">
      <c r="A13" s="86" t="s">
        <v>1078</v>
      </c>
      <c r="B13" s="86" t="s">
        <v>47</v>
      </c>
      <c r="C13" s="86" t="s">
        <v>79</v>
      </c>
      <c r="D13" s="86" t="s">
        <v>81</v>
      </c>
      <c r="E13" s="86" t="s">
        <v>80</v>
      </c>
      <c r="F13" s="86" t="s">
        <v>47</v>
      </c>
      <c r="G13" s="86" t="s">
        <v>48</v>
      </c>
      <c r="H13" s="86" t="s">
        <v>141</v>
      </c>
      <c r="I13">
        <v>0</v>
      </c>
      <c r="J13">
        <v>0</v>
      </c>
      <c r="K13">
        <v>0</v>
      </c>
      <c r="L13">
        <v>0</v>
      </c>
      <c r="M13">
        <v>0</v>
      </c>
      <c r="N13" s="86" t="s">
        <v>1077</v>
      </c>
      <c r="O13" s="73" t="s">
        <v>131</v>
      </c>
      <c r="P13" s="71"/>
      <c r="Q13" s="71"/>
      <c r="R13" s="71">
        <v>0</v>
      </c>
      <c r="S13" s="71">
        <v>0</v>
      </c>
    </row>
    <row r="14" spans="1:19" x14ac:dyDescent="0.3">
      <c r="A14" s="86" t="s">
        <v>1078</v>
      </c>
      <c r="B14" s="86" t="s">
        <v>47</v>
      </c>
      <c r="C14" s="86" t="s">
        <v>82</v>
      </c>
      <c r="D14" s="86" t="s">
        <v>84</v>
      </c>
      <c r="E14" s="86" t="s">
        <v>83</v>
      </c>
      <c r="F14" s="86" t="s">
        <v>47</v>
      </c>
      <c r="G14" s="86" t="s">
        <v>48</v>
      </c>
      <c r="H14" s="86" t="s">
        <v>141</v>
      </c>
      <c r="I14">
        <v>0</v>
      </c>
      <c r="J14">
        <v>0</v>
      </c>
      <c r="K14">
        <v>0</v>
      </c>
      <c r="L14">
        <v>0</v>
      </c>
      <c r="M14">
        <v>0</v>
      </c>
      <c r="N14" s="86" t="s">
        <v>1077</v>
      </c>
      <c r="O14" s="73" t="s">
        <v>134</v>
      </c>
      <c r="P14" s="71"/>
      <c r="Q14" s="71"/>
      <c r="R14" s="71">
        <v>0</v>
      </c>
      <c r="S14" s="71">
        <v>0</v>
      </c>
    </row>
    <row r="15" spans="1:19" x14ac:dyDescent="0.3">
      <c r="A15" s="86" t="s">
        <v>1078</v>
      </c>
      <c r="B15" s="86" t="s">
        <v>47</v>
      </c>
      <c r="C15" s="86" t="s">
        <v>106</v>
      </c>
      <c r="D15" s="86" t="s">
        <v>108</v>
      </c>
      <c r="E15" s="86" t="s">
        <v>107</v>
      </c>
      <c r="F15" s="86" t="s">
        <v>47</v>
      </c>
      <c r="G15" s="86" t="s">
        <v>48</v>
      </c>
      <c r="H15" s="86" t="s">
        <v>141</v>
      </c>
      <c r="I15">
        <v>0</v>
      </c>
      <c r="J15">
        <v>0</v>
      </c>
      <c r="K15">
        <v>0</v>
      </c>
      <c r="L15">
        <v>0</v>
      </c>
      <c r="M15">
        <v>0</v>
      </c>
      <c r="N15" s="86" t="s">
        <v>1077</v>
      </c>
      <c r="O15" s="73" t="s">
        <v>137</v>
      </c>
      <c r="P15" s="71"/>
      <c r="Q15" s="71"/>
      <c r="R15" s="71">
        <v>0</v>
      </c>
      <c r="S15" s="71">
        <v>0</v>
      </c>
    </row>
    <row r="16" spans="1:19" x14ac:dyDescent="0.3">
      <c r="A16" s="86" t="s">
        <v>1078</v>
      </c>
      <c r="B16" s="86" t="s">
        <v>47</v>
      </c>
      <c r="C16" s="86" t="s">
        <v>128</v>
      </c>
      <c r="D16" s="86" t="s">
        <v>130</v>
      </c>
      <c r="E16" s="86" t="s">
        <v>129</v>
      </c>
      <c r="F16" s="86" t="s">
        <v>47</v>
      </c>
      <c r="G16" s="86" t="s">
        <v>48</v>
      </c>
      <c r="H16" s="86" t="s">
        <v>141</v>
      </c>
      <c r="I16">
        <v>48000</v>
      </c>
      <c r="J16">
        <v>0</v>
      </c>
      <c r="K16">
        <v>0</v>
      </c>
      <c r="L16">
        <v>48000</v>
      </c>
      <c r="M16">
        <v>0</v>
      </c>
      <c r="N16" s="86" t="s">
        <v>1077</v>
      </c>
      <c r="O16" s="73" t="s">
        <v>143</v>
      </c>
      <c r="P16" s="71"/>
      <c r="Q16" s="71">
        <v>105185</v>
      </c>
      <c r="R16" s="71">
        <v>1115000</v>
      </c>
      <c r="S16" s="71">
        <v>1220185</v>
      </c>
    </row>
    <row r="17" spans="1:19" x14ac:dyDescent="0.3">
      <c r="A17" s="86" t="s">
        <v>1078</v>
      </c>
      <c r="B17" s="86" t="s">
        <v>47</v>
      </c>
      <c r="C17" s="86" t="s">
        <v>131</v>
      </c>
      <c r="D17" s="86" t="s">
        <v>133</v>
      </c>
      <c r="E17" s="86" t="s">
        <v>132</v>
      </c>
      <c r="F17" s="86" t="s">
        <v>47</v>
      </c>
      <c r="G17" s="86" t="s">
        <v>48</v>
      </c>
      <c r="H17" s="86" t="s">
        <v>141</v>
      </c>
      <c r="I17">
        <v>0</v>
      </c>
      <c r="J17">
        <v>0</v>
      </c>
      <c r="K17">
        <v>0</v>
      </c>
      <c r="L17">
        <v>0</v>
      </c>
      <c r="M17">
        <v>0</v>
      </c>
      <c r="N17" s="86" t="s">
        <v>1077</v>
      </c>
      <c r="O17" s="73" t="s">
        <v>146</v>
      </c>
      <c r="P17" s="71"/>
      <c r="Q17" s="71"/>
      <c r="R17" s="71">
        <v>0</v>
      </c>
      <c r="S17" s="71">
        <v>0</v>
      </c>
    </row>
    <row r="18" spans="1:19" x14ac:dyDescent="0.3">
      <c r="A18" s="86" t="s">
        <v>1078</v>
      </c>
      <c r="B18" s="86" t="s">
        <v>47</v>
      </c>
      <c r="C18" s="86" t="s">
        <v>134</v>
      </c>
      <c r="D18" s="86" t="s">
        <v>136</v>
      </c>
      <c r="E18" s="86" t="s">
        <v>135</v>
      </c>
      <c r="F18" s="86" t="s">
        <v>47</v>
      </c>
      <c r="G18" s="86" t="s">
        <v>48</v>
      </c>
      <c r="H18" s="86" t="s">
        <v>141</v>
      </c>
      <c r="I18">
        <v>0</v>
      </c>
      <c r="J18">
        <v>0</v>
      </c>
      <c r="K18">
        <v>0</v>
      </c>
      <c r="L18">
        <v>0</v>
      </c>
      <c r="M18">
        <v>0</v>
      </c>
      <c r="N18" s="86" t="s">
        <v>1077</v>
      </c>
      <c r="O18" s="73" t="s">
        <v>149</v>
      </c>
      <c r="P18" s="71"/>
      <c r="Q18" s="71">
        <v>19794</v>
      </c>
      <c r="R18" s="71">
        <v>62553</v>
      </c>
      <c r="S18" s="71">
        <v>82347</v>
      </c>
    </row>
    <row r="19" spans="1:19" x14ac:dyDescent="0.3">
      <c r="A19" s="86" t="s">
        <v>1078</v>
      </c>
      <c r="B19" s="86" t="s">
        <v>47</v>
      </c>
      <c r="C19" s="86" t="s">
        <v>137</v>
      </c>
      <c r="D19" s="86" t="s">
        <v>139</v>
      </c>
      <c r="E19" s="86" t="s">
        <v>138</v>
      </c>
      <c r="F19" s="86" t="s">
        <v>47</v>
      </c>
      <c r="G19" s="86" t="s">
        <v>48</v>
      </c>
      <c r="H19" s="86" t="s">
        <v>141</v>
      </c>
      <c r="I19">
        <v>0</v>
      </c>
      <c r="J19">
        <v>0</v>
      </c>
      <c r="K19">
        <v>0</v>
      </c>
      <c r="L19">
        <v>0</v>
      </c>
      <c r="M19">
        <v>0</v>
      </c>
      <c r="N19" s="86" t="s">
        <v>1077</v>
      </c>
      <c r="O19" s="73" t="s">
        <v>152</v>
      </c>
      <c r="P19" s="71"/>
      <c r="Q19" s="71">
        <v>10227</v>
      </c>
      <c r="R19" s="71">
        <v>259200</v>
      </c>
      <c r="S19" s="71">
        <v>269427</v>
      </c>
    </row>
    <row r="20" spans="1:19" x14ac:dyDescent="0.3">
      <c r="A20" s="86" t="s">
        <v>1078</v>
      </c>
      <c r="B20" s="86" t="s">
        <v>47</v>
      </c>
      <c r="C20" s="86" t="s">
        <v>143</v>
      </c>
      <c r="D20" s="86" t="s">
        <v>145</v>
      </c>
      <c r="E20" s="86" t="s">
        <v>144</v>
      </c>
      <c r="F20" s="86" t="s">
        <v>47</v>
      </c>
      <c r="G20" s="86" t="s">
        <v>48</v>
      </c>
      <c r="H20" s="86" t="s">
        <v>141</v>
      </c>
      <c r="I20">
        <v>2525000</v>
      </c>
      <c r="J20">
        <v>0</v>
      </c>
      <c r="K20">
        <v>1410000</v>
      </c>
      <c r="L20">
        <v>1115000</v>
      </c>
      <c r="M20">
        <v>0</v>
      </c>
      <c r="N20" s="86" t="s">
        <v>1077</v>
      </c>
      <c r="O20" s="73" t="s">
        <v>155</v>
      </c>
      <c r="P20" s="71"/>
      <c r="Q20" s="71"/>
      <c r="R20" s="71">
        <v>0</v>
      </c>
      <c r="S20" s="71">
        <v>0</v>
      </c>
    </row>
    <row r="21" spans="1:19" x14ac:dyDescent="0.3">
      <c r="A21" s="86" t="s">
        <v>1078</v>
      </c>
      <c r="B21" s="86" t="s">
        <v>47</v>
      </c>
      <c r="C21" s="86" t="s">
        <v>146</v>
      </c>
      <c r="D21" s="86" t="s">
        <v>148</v>
      </c>
      <c r="E21" s="86" t="s">
        <v>147</v>
      </c>
      <c r="F21" s="86" t="s">
        <v>47</v>
      </c>
      <c r="G21" s="86" t="s">
        <v>48</v>
      </c>
      <c r="H21" s="86" t="s">
        <v>141</v>
      </c>
      <c r="I21">
        <v>0</v>
      </c>
      <c r="J21">
        <v>0</v>
      </c>
      <c r="K21">
        <v>0</v>
      </c>
      <c r="L21">
        <v>0</v>
      </c>
      <c r="M21">
        <v>0</v>
      </c>
      <c r="N21" s="86" t="s">
        <v>1077</v>
      </c>
      <c r="O21" s="73" t="s">
        <v>158</v>
      </c>
      <c r="P21" s="71"/>
      <c r="Q21" s="71"/>
      <c r="R21" s="71">
        <v>0</v>
      </c>
      <c r="S21" s="71">
        <v>0</v>
      </c>
    </row>
    <row r="22" spans="1:19" x14ac:dyDescent="0.3">
      <c r="A22" s="86" t="s">
        <v>1078</v>
      </c>
      <c r="B22" s="86" t="s">
        <v>47</v>
      </c>
      <c r="C22" s="86" t="s">
        <v>149</v>
      </c>
      <c r="D22" s="86" t="s">
        <v>151</v>
      </c>
      <c r="E22" s="86" t="s">
        <v>150</v>
      </c>
      <c r="F22" s="86" t="s">
        <v>47</v>
      </c>
      <c r="G22" s="86" t="s">
        <v>48</v>
      </c>
      <c r="H22" s="86" t="s">
        <v>141</v>
      </c>
      <c r="I22">
        <v>62553</v>
      </c>
      <c r="J22">
        <v>0</v>
      </c>
      <c r="K22">
        <v>0</v>
      </c>
      <c r="L22">
        <v>62553</v>
      </c>
      <c r="M22">
        <v>0</v>
      </c>
      <c r="N22" s="86" t="s">
        <v>1077</v>
      </c>
      <c r="O22" s="73" t="s">
        <v>163</v>
      </c>
      <c r="P22" s="71"/>
      <c r="Q22" s="71"/>
      <c r="R22" s="71">
        <v>0</v>
      </c>
      <c r="S22" s="71">
        <v>0</v>
      </c>
    </row>
    <row r="23" spans="1:19" x14ac:dyDescent="0.3">
      <c r="A23" s="86" t="s">
        <v>1078</v>
      </c>
      <c r="B23" s="86" t="s">
        <v>47</v>
      </c>
      <c r="C23" s="86" t="s">
        <v>152</v>
      </c>
      <c r="D23" s="86" t="s">
        <v>154</v>
      </c>
      <c r="E23" s="86" t="s">
        <v>153</v>
      </c>
      <c r="F23" s="86" t="s">
        <v>47</v>
      </c>
      <c r="G23" s="86" t="s">
        <v>48</v>
      </c>
      <c r="H23" s="86" t="s">
        <v>141</v>
      </c>
      <c r="I23">
        <v>259200</v>
      </c>
      <c r="J23">
        <v>0</v>
      </c>
      <c r="K23">
        <v>0</v>
      </c>
      <c r="L23">
        <v>259200</v>
      </c>
      <c r="M23">
        <v>0</v>
      </c>
      <c r="N23" s="86" t="s">
        <v>1077</v>
      </c>
      <c r="O23" s="73" t="s">
        <v>166</v>
      </c>
      <c r="P23" s="71"/>
      <c r="Q23" s="71"/>
      <c r="R23" s="71">
        <v>0</v>
      </c>
      <c r="S23" s="71">
        <v>0</v>
      </c>
    </row>
    <row r="24" spans="1:19" x14ac:dyDescent="0.3">
      <c r="A24" s="86" t="s">
        <v>1078</v>
      </c>
      <c r="B24" s="86" t="s">
        <v>47</v>
      </c>
      <c r="C24" s="86" t="s">
        <v>155</v>
      </c>
      <c r="D24" s="86" t="s">
        <v>157</v>
      </c>
      <c r="E24" s="86" t="s">
        <v>156</v>
      </c>
      <c r="F24" s="86" t="s">
        <v>47</v>
      </c>
      <c r="G24" s="86" t="s">
        <v>48</v>
      </c>
      <c r="H24" s="86" t="s">
        <v>141</v>
      </c>
      <c r="I24">
        <v>0</v>
      </c>
      <c r="J24">
        <v>0</v>
      </c>
      <c r="K24">
        <v>0</v>
      </c>
      <c r="L24">
        <v>0</v>
      </c>
      <c r="M24">
        <v>0</v>
      </c>
      <c r="N24" s="86" t="s">
        <v>1077</v>
      </c>
      <c r="O24" s="73" t="s">
        <v>169</v>
      </c>
      <c r="P24" s="71"/>
      <c r="Q24" s="71"/>
      <c r="R24" s="71">
        <v>0</v>
      </c>
      <c r="S24" s="71">
        <v>0</v>
      </c>
    </row>
    <row r="25" spans="1:19" x14ac:dyDescent="0.3">
      <c r="A25" s="86" t="s">
        <v>1078</v>
      </c>
      <c r="B25" s="86" t="s">
        <v>47</v>
      </c>
      <c r="C25" s="86" t="s">
        <v>158</v>
      </c>
      <c r="D25" s="86" t="s">
        <v>160</v>
      </c>
      <c r="E25" s="86" t="s">
        <v>159</v>
      </c>
      <c r="F25" s="86" t="s">
        <v>47</v>
      </c>
      <c r="G25" s="86" t="s">
        <v>48</v>
      </c>
      <c r="H25" s="86" t="s">
        <v>141</v>
      </c>
      <c r="I25">
        <v>0</v>
      </c>
      <c r="J25">
        <v>0</v>
      </c>
      <c r="K25">
        <v>0</v>
      </c>
      <c r="L25">
        <v>0</v>
      </c>
      <c r="M25">
        <v>0</v>
      </c>
      <c r="N25" s="86" t="s">
        <v>1077</v>
      </c>
      <c r="O25" s="73" t="s">
        <v>172</v>
      </c>
      <c r="P25" s="71"/>
      <c r="Q25" s="71"/>
      <c r="R25" s="71">
        <v>0</v>
      </c>
      <c r="S25" s="71">
        <v>0</v>
      </c>
    </row>
    <row r="26" spans="1:19" x14ac:dyDescent="0.3">
      <c r="A26" s="86" t="s">
        <v>1078</v>
      </c>
      <c r="B26" s="86" t="s">
        <v>47</v>
      </c>
      <c r="C26" s="86" t="s">
        <v>163</v>
      </c>
      <c r="D26" s="86" t="s">
        <v>165</v>
      </c>
      <c r="E26" s="86" t="s">
        <v>164</v>
      </c>
      <c r="F26" s="86" t="s">
        <v>47</v>
      </c>
      <c r="G26" s="86" t="s">
        <v>48</v>
      </c>
      <c r="H26" s="86" t="s">
        <v>141</v>
      </c>
      <c r="I26">
        <v>0</v>
      </c>
      <c r="J26">
        <v>0</v>
      </c>
      <c r="K26">
        <v>0</v>
      </c>
      <c r="L26">
        <v>0</v>
      </c>
      <c r="M26">
        <v>0</v>
      </c>
      <c r="N26" s="86" t="s">
        <v>1077</v>
      </c>
      <c r="O26" s="73" t="s">
        <v>177</v>
      </c>
      <c r="P26" s="71"/>
      <c r="Q26" s="71">
        <v>201670</v>
      </c>
      <c r="R26" s="71">
        <v>96000</v>
      </c>
      <c r="S26" s="71">
        <v>297670</v>
      </c>
    </row>
    <row r="27" spans="1:19" x14ac:dyDescent="0.3">
      <c r="A27" s="86" t="s">
        <v>1078</v>
      </c>
      <c r="B27" s="86" t="s">
        <v>47</v>
      </c>
      <c r="C27" s="86" t="s">
        <v>166</v>
      </c>
      <c r="D27" s="86" t="s">
        <v>168</v>
      </c>
      <c r="E27" s="86" t="s">
        <v>167</v>
      </c>
      <c r="F27" s="86" t="s">
        <v>47</v>
      </c>
      <c r="G27" s="86" t="s">
        <v>48</v>
      </c>
      <c r="H27" s="86" t="s">
        <v>141</v>
      </c>
      <c r="I27">
        <v>0</v>
      </c>
      <c r="J27">
        <v>0</v>
      </c>
      <c r="K27">
        <v>0</v>
      </c>
      <c r="L27">
        <v>0</v>
      </c>
      <c r="M27">
        <v>0</v>
      </c>
      <c r="N27" s="86" t="s">
        <v>1077</v>
      </c>
      <c r="O27" s="73" t="s">
        <v>180</v>
      </c>
      <c r="P27" s="71"/>
      <c r="Q27" s="71"/>
      <c r="R27" s="71">
        <v>46000</v>
      </c>
      <c r="S27" s="71">
        <v>46000</v>
      </c>
    </row>
    <row r="28" spans="1:19" x14ac:dyDescent="0.3">
      <c r="A28" s="86" t="s">
        <v>1078</v>
      </c>
      <c r="B28" s="86" t="s">
        <v>47</v>
      </c>
      <c r="C28" s="86" t="s">
        <v>169</v>
      </c>
      <c r="D28" s="86" t="s">
        <v>171</v>
      </c>
      <c r="E28" s="86" t="s">
        <v>170</v>
      </c>
      <c r="F28" s="86" t="s">
        <v>47</v>
      </c>
      <c r="G28" s="86" t="s">
        <v>48</v>
      </c>
      <c r="H28" s="86" t="s">
        <v>141</v>
      </c>
      <c r="I28">
        <v>0</v>
      </c>
      <c r="J28">
        <v>0</v>
      </c>
      <c r="K28">
        <v>0</v>
      </c>
      <c r="L28">
        <v>0</v>
      </c>
      <c r="M28">
        <v>0</v>
      </c>
      <c r="N28" s="86" t="s">
        <v>1077</v>
      </c>
      <c r="O28" s="73" t="s">
        <v>183</v>
      </c>
      <c r="P28" s="71"/>
      <c r="Q28" s="71">
        <v>444262</v>
      </c>
      <c r="R28" s="71">
        <v>775000</v>
      </c>
      <c r="S28" s="71">
        <v>1219262</v>
      </c>
    </row>
    <row r="29" spans="1:19" x14ac:dyDescent="0.3">
      <c r="A29" s="86" t="s">
        <v>1078</v>
      </c>
      <c r="B29" s="86" t="s">
        <v>47</v>
      </c>
      <c r="C29" s="86" t="s">
        <v>172</v>
      </c>
      <c r="D29" s="86" t="s">
        <v>174</v>
      </c>
      <c r="E29" s="86" t="s">
        <v>173</v>
      </c>
      <c r="F29" s="86" t="s">
        <v>47</v>
      </c>
      <c r="G29" s="86" t="s">
        <v>48</v>
      </c>
      <c r="H29" s="86" t="s">
        <v>141</v>
      </c>
      <c r="I29">
        <v>0</v>
      </c>
      <c r="J29">
        <v>0</v>
      </c>
      <c r="K29">
        <v>0</v>
      </c>
      <c r="L29">
        <v>0</v>
      </c>
      <c r="M29">
        <v>0</v>
      </c>
      <c r="N29" s="86" t="s">
        <v>1077</v>
      </c>
      <c r="O29" s="73" t="s">
        <v>186</v>
      </c>
      <c r="P29" s="71"/>
      <c r="Q29" s="71"/>
      <c r="R29" s="71">
        <v>0</v>
      </c>
      <c r="S29" s="71">
        <v>0</v>
      </c>
    </row>
    <row r="30" spans="1:19" x14ac:dyDescent="0.3">
      <c r="A30" s="86" t="s">
        <v>1078</v>
      </c>
      <c r="B30" s="86" t="s">
        <v>47</v>
      </c>
      <c r="C30" s="86" t="s">
        <v>177</v>
      </c>
      <c r="D30" s="86" t="s">
        <v>179</v>
      </c>
      <c r="E30" s="86" t="s">
        <v>178</v>
      </c>
      <c r="F30" s="86" t="s">
        <v>47</v>
      </c>
      <c r="G30" s="86" t="s">
        <v>48</v>
      </c>
      <c r="H30" s="86" t="s">
        <v>141</v>
      </c>
      <c r="I30">
        <v>390000</v>
      </c>
      <c r="J30">
        <v>0</v>
      </c>
      <c r="K30">
        <v>294000</v>
      </c>
      <c r="L30">
        <v>96000</v>
      </c>
      <c r="M30">
        <v>0</v>
      </c>
      <c r="N30" s="86" t="s">
        <v>1077</v>
      </c>
      <c r="O30" s="73" t="s">
        <v>189</v>
      </c>
      <c r="P30" s="71"/>
      <c r="Q30" s="71">
        <v>72375</v>
      </c>
      <c r="R30" s="71">
        <v>480000</v>
      </c>
      <c r="S30" s="71">
        <v>552375</v>
      </c>
    </row>
    <row r="31" spans="1:19" x14ac:dyDescent="0.3">
      <c r="A31" s="86" t="s">
        <v>1078</v>
      </c>
      <c r="B31" s="86" t="s">
        <v>47</v>
      </c>
      <c r="C31" s="86" t="s">
        <v>180</v>
      </c>
      <c r="D31" s="86" t="s">
        <v>182</v>
      </c>
      <c r="E31" s="86" t="s">
        <v>181</v>
      </c>
      <c r="F31" s="86" t="s">
        <v>47</v>
      </c>
      <c r="G31" s="86" t="s">
        <v>48</v>
      </c>
      <c r="H31" s="86" t="s">
        <v>141</v>
      </c>
      <c r="I31">
        <v>46000</v>
      </c>
      <c r="J31">
        <v>0</v>
      </c>
      <c r="K31">
        <v>0</v>
      </c>
      <c r="L31">
        <v>46000</v>
      </c>
      <c r="M31">
        <v>0</v>
      </c>
      <c r="N31" s="86" t="s">
        <v>1077</v>
      </c>
      <c r="O31" s="73" t="s">
        <v>192</v>
      </c>
      <c r="P31" s="71"/>
      <c r="Q31" s="71">
        <v>179719</v>
      </c>
      <c r="R31" s="71">
        <v>3829000</v>
      </c>
      <c r="S31" s="71">
        <v>4008719</v>
      </c>
    </row>
    <row r="32" spans="1:19" x14ac:dyDescent="0.3">
      <c r="A32" s="86" t="s">
        <v>1078</v>
      </c>
      <c r="B32" s="86" t="s">
        <v>47</v>
      </c>
      <c r="C32" s="86" t="s">
        <v>183</v>
      </c>
      <c r="D32" s="86" t="s">
        <v>185</v>
      </c>
      <c r="E32" s="86" t="s">
        <v>184</v>
      </c>
      <c r="F32" s="86" t="s">
        <v>47</v>
      </c>
      <c r="G32" s="86" t="s">
        <v>48</v>
      </c>
      <c r="H32" s="86" t="s">
        <v>141</v>
      </c>
      <c r="I32">
        <v>1458000</v>
      </c>
      <c r="J32">
        <v>0</v>
      </c>
      <c r="K32">
        <v>683000</v>
      </c>
      <c r="L32">
        <v>775000</v>
      </c>
      <c r="M32">
        <v>0</v>
      </c>
      <c r="N32" s="86" t="s">
        <v>1077</v>
      </c>
      <c r="O32" s="73" t="s">
        <v>195</v>
      </c>
      <c r="P32" s="71"/>
      <c r="Q32" s="71">
        <v>969746</v>
      </c>
      <c r="R32" s="71">
        <v>0</v>
      </c>
      <c r="S32" s="71">
        <v>969746</v>
      </c>
    </row>
    <row r="33" spans="1:19" x14ac:dyDescent="0.3">
      <c r="A33" s="86" t="s">
        <v>1078</v>
      </c>
      <c r="B33" s="86" t="s">
        <v>47</v>
      </c>
      <c r="C33" s="86" t="s">
        <v>186</v>
      </c>
      <c r="D33" s="86" t="s">
        <v>188</v>
      </c>
      <c r="E33" s="86" t="s">
        <v>187</v>
      </c>
      <c r="F33" s="86" t="s">
        <v>47</v>
      </c>
      <c r="G33" s="86" t="s">
        <v>48</v>
      </c>
      <c r="H33" s="86" t="s">
        <v>141</v>
      </c>
      <c r="I33">
        <v>0</v>
      </c>
      <c r="J33">
        <v>0</v>
      </c>
      <c r="K33">
        <v>0</v>
      </c>
      <c r="L33">
        <v>0</v>
      </c>
      <c r="M33">
        <v>0</v>
      </c>
      <c r="N33" s="86" t="s">
        <v>1077</v>
      </c>
      <c r="O33" s="73" t="s">
        <v>198</v>
      </c>
      <c r="P33" s="71"/>
      <c r="Q33" s="71"/>
      <c r="R33" s="71">
        <v>0</v>
      </c>
      <c r="S33" s="71">
        <v>0</v>
      </c>
    </row>
    <row r="34" spans="1:19" x14ac:dyDescent="0.3">
      <c r="A34" s="86" t="s">
        <v>1078</v>
      </c>
      <c r="B34" s="86" t="s">
        <v>47</v>
      </c>
      <c r="C34" s="86" t="s">
        <v>189</v>
      </c>
      <c r="D34" s="86" t="s">
        <v>191</v>
      </c>
      <c r="E34" s="86" t="s">
        <v>190</v>
      </c>
      <c r="F34" s="86" t="s">
        <v>47</v>
      </c>
      <c r="G34" s="86" t="s">
        <v>48</v>
      </c>
      <c r="H34" s="86" t="s">
        <v>141</v>
      </c>
      <c r="I34">
        <v>675000</v>
      </c>
      <c r="J34">
        <v>0</v>
      </c>
      <c r="K34">
        <v>195000</v>
      </c>
      <c r="L34">
        <v>480000</v>
      </c>
      <c r="M34">
        <v>0</v>
      </c>
      <c r="N34" s="86" t="s">
        <v>1077</v>
      </c>
      <c r="O34" s="73" t="s">
        <v>203</v>
      </c>
      <c r="P34" s="71"/>
      <c r="Q34" s="71">
        <v>121744</v>
      </c>
      <c r="R34" s="71">
        <v>539000</v>
      </c>
      <c r="S34" s="71">
        <v>660744</v>
      </c>
    </row>
    <row r="35" spans="1:19" x14ac:dyDescent="0.3">
      <c r="A35" s="86" t="s">
        <v>1078</v>
      </c>
      <c r="B35" s="86" t="s">
        <v>47</v>
      </c>
      <c r="C35" s="86" t="s">
        <v>192</v>
      </c>
      <c r="D35" s="86" t="s">
        <v>194</v>
      </c>
      <c r="E35" s="86" t="s">
        <v>193</v>
      </c>
      <c r="F35" s="86" t="s">
        <v>47</v>
      </c>
      <c r="G35" s="86" t="s">
        <v>48</v>
      </c>
      <c r="H35" s="86" t="s">
        <v>141</v>
      </c>
      <c r="I35">
        <v>722000</v>
      </c>
      <c r="J35">
        <v>3107000</v>
      </c>
      <c r="K35">
        <v>0</v>
      </c>
      <c r="L35">
        <v>3829000</v>
      </c>
      <c r="M35">
        <v>0</v>
      </c>
      <c r="N35" s="86" t="s">
        <v>1077</v>
      </c>
      <c r="O35" s="73" t="s">
        <v>206</v>
      </c>
      <c r="P35" s="71"/>
      <c r="Q35" s="71"/>
      <c r="R35" s="71">
        <v>0</v>
      </c>
      <c r="S35" s="71">
        <v>0</v>
      </c>
    </row>
    <row r="36" spans="1:19" x14ac:dyDescent="0.3">
      <c r="A36" s="86" t="s">
        <v>1078</v>
      </c>
      <c r="B36" s="86" t="s">
        <v>47</v>
      </c>
      <c r="C36" s="86" t="s">
        <v>195</v>
      </c>
      <c r="D36" s="86" t="s">
        <v>197</v>
      </c>
      <c r="E36" s="86" t="s">
        <v>196</v>
      </c>
      <c r="F36" s="86" t="s">
        <v>47</v>
      </c>
      <c r="G36" s="86" t="s">
        <v>48</v>
      </c>
      <c r="H36" s="86" t="s">
        <v>141</v>
      </c>
      <c r="I36">
        <v>3402000</v>
      </c>
      <c r="J36">
        <v>864000</v>
      </c>
      <c r="K36">
        <v>4266000</v>
      </c>
      <c r="L36">
        <v>0</v>
      </c>
      <c r="M36">
        <v>0</v>
      </c>
      <c r="N36" s="86" t="s">
        <v>1077</v>
      </c>
      <c r="O36" s="73" t="s">
        <v>209</v>
      </c>
      <c r="P36" s="71"/>
      <c r="Q36" s="71">
        <v>16586</v>
      </c>
      <c r="R36" s="71">
        <v>389000</v>
      </c>
      <c r="S36" s="71">
        <v>405586</v>
      </c>
    </row>
    <row r="37" spans="1:19" x14ac:dyDescent="0.3">
      <c r="A37" s="86" t="s">
        <v>1078</v>
      </c>
      <c r="B37" s="86" t="s">
        <v>47</v>
      </c>
      <c r="C37" s="86" t="s">
        <v>198</v>
      </c>
      <c r="D37" s="86" t="s">
        <v>200</v>
      </c>
      <c r="E37" s="86" t="s">
        <v>199</v>
      </c>
      <c r="F37" s="86" t="s">
        <v>47</v>
      </c>
      <c r="G37" s="86" t="s">
        <v>48</v>
      </c>
      <c r="H37" s="86" t="s">
        <v>141</v>
      </c>
      <c r="I37">
        <v>0</v>
      </c>
      <c r="J37">
        <v>0</v>
      </c>
      <c r="K37">
        <v>0</v>
      </c>
      <c r="L37">
        <v>0</v>
      </c>
      <c r="M37">
        <v>0</v>
      </c>
      <c r="N37" s="86" t="s">
        <v>1077</v>
      </c>
      <c r="O37" s="73" t="s">
        <v>212</v>
      </c>
      <c r="P37" s="71"/>
      <c r="Q37" s="71"/>
      <c r="R37" s="71">
        <v>0</v>
      </c>
      <c r="S37" s="71">
        <v>0</v>
      </c>
    </row>
    <row r="38" spans="1:19" x14ac:dyDescent="0.3">
      <c r="A38" s="86" t="s">
        <v>1078</v>
      </c>
      <c r="B38" s="86" t="s">
        <v>47</v>
      </c>
      <c r="C38" s="86" t="s">
        <v>203</v>
      </c>
      <c r="D38" s="86" t="s">
        <v>205</v>
      </c>
      <c r="E38" s="86" t="s">
        <v>204</v>
      </c>
      <c r="F38" s="86" t="s">
        <v>47</v>
      </c>
      <c r="G38" s="86" t="s">
        <v>48</v>
      </c>
      <c r="H38" s="86" t="s">
        <v>141</v>
      </c>
      <c r="I38">
        <v>48000</v>
      </c>
      <c r="J38">
        <v>587000</v>
      </c>
      <c r="K38">
        <v>96000</v>
      </c>
      <c r="L38">
        <v>539000</v>
      </c>
      <c r="M38">
        <v>0</v>
      </c>
      <c r="N38" s="86" t="s">
        <v>1077</v>
      </c>
      <c r="O38" s="73" t="s">
        <v>215</v>
      </c>
      <c r="P38" s="71"/>
      <c r="Q38" s="71"/>
      <c r="R38" s="71">
        <v>0</v>
      </c>
      <c r="S38" s="71">
        <v>0</v>
      </c>
    </row>
    <row r="39" spans="1:19" x14ac:dyDescent="0.3">
      <c r="A39" s="86" t="s">
        <v>1078</v>
      </c>
      <c r="B39" s="86" t="s">
        <v>47</v>
      </c>
      <c r="C39" s="86" t="s">
        <v>206</v>
      </c>
      <c r="D39" s="86" t="s">
        <v>208</v>
      </c>
      <c r="E39" s="86" t="s">
        <v>207</v>
      </c>
      <c r="F39" s="86" t="s">
        <v>47</v>
      </c>
      <c r="G39" s="86" t="s">
        <v>48</v>
      </c>
      <c r="H39" s="86" t="s">
        <v>141</v>
      </c>
      <c r="I39">
        <v>0</v>
      </c>
      <c r="J39">
        <v>0</v>
      </c>
      <c r="K39">
        <v>0</v>
      </c>
      <c r="L39">
        <v>0</v>
      </c>
      <c r="M39">
        <v>0</v>
      </c>
      <c r="N39" s="86" t="s">
        <v>1077</v>
      </c>
      <c r="O39" s="73" t="s">
        <v>218</v>
      </c>
      <c r="P39" s="71"/>
      <c r="Q39" s="71">
        <v>0</v>
      </c>
      <c r="R39" s="71">
        <v>95000</v>
      </c>
      <c r="S39" s="71">
        <v>95000</v>
      </c>
    </row>
    <row r="40" spans="1:19" x14ac:dyDescent="0.3">
      <c r="A40" s="86" t="s">
        <v>1078</v>
      </c>
      <c r="B40" s="86" t="s">
        <v>47</v>
      </c>
      <c r="C40" s="86" t="s">
        <v>209</v>
      </c>
      <c r="D40" s="86" t="s">
        <v>211</v>
      </c>
      <c r="E40" s="86" t="s">
        <v>210</v>
      </c>
      <c r="F40" s="86" t="s">
        <v>47</v>
      </c>
      <c r="G40" s="86" t="s">
        <v>48</v>
      </c>
      <c r="H40" s="86" t="s">
        <v>141</v>
      </c>
      <c r="I40">
        <v>389000</v>
      </c>
      <c r="J40">
        <v>0</v>
      </c>
      <c r="K40">
        <v>0</v>
      </c>
      <c r="L40">
        <v>389000</v>
      </c>
      <c r="M40">
        <v>0</v>
      </c>
      <c r="N40" s="86" t="s">
        <v>1077</v>
      </c>
      <c r="O40" s="73" t="s">
        <v>221</v>
      </c>
      <c r="P40" s="71"/>
      <c r="Q40" s="71"/>
      <c r="R40" s="71">
        <v>0</v>
      </c>
      <c r="S40" s="71">
        <v>0</v>
      </c>
    </row>
    <row r="41" spans="1:19" x14ac:dyDescent="0.3">
      <c r="A41" s="86" t="s">
        <v>1078</v>
      </c>
      <c r="B41" s="86" t="s">
        <v>47</v>
      </c>
      <c r="C41" s="86" t="s">
        <v>212</v>
      </c>
      <c r="D41" s="86" t="s">
        <v>214</v>
      </c>
      <c r="E41" s="86" t="s">
        <v>213</v>
      </c>
      <c r="F41" s="86" t="s">
        <v>47</v>
      </c>
      <c r="G41" s="86" t="s">
        <v>48</v>
      </c>
      <c r="H41" s="86" t="s">
        <v>141</v>
      </c>
      <c r="I41">
        <v>0</v>
      </c>
      <c r="J41">
        <v>0</v>
      </c>
      <c r="K41">
        <v>0</v>
      </c>
      <c r="L41">
        <v>0</v>
      </c>
      <c r="M41">
        <v>0</v>
      </c>
      <c r="N41" s="86" t="s">
        <v>1077</v>
      </c>
      <c r="O41" s="73" t="s">
        <v>224</v>
      </c>
      <c r="P41" s="71"/>
      <c r="Q41" s="71">
        <v>12383</v>
      </c>
      <c r="R41" s="71">
        <v>287235</v>
      </c>
      <c r="S41" s="71">
        <v>299618</v>
      </c>
    </row>
    <row r="42" spans="1:19" x14ac:dyDescent="0.3">
      <c r="A42" s="86" t="s">
        <v>1078</v>
      </c>
      <c r="B42" s="86" t="s">
        <v>47</v>
      </c>
      <c r="C42" s="86" t="s">
        <v>215</v>
      </c>
      <c r="D42" s="86" t="s">
        <v>217</v>
      </c>
      <c r="E42" s="86" t="s">
        <v>216</v>
      </c>
      <c r="F42" s="86" t="s">
        <v>47</v>
      </c>
      <c r="G42" s="86" t="s">
        <v>48</v>
      </c>
      <c r="H42" s="86" t="s">
        <v>141</v>
      </c>
      <c r="I42">
        <v>0</v>
      </c>
      <c r="J42">
        <v>0</v>
      </c>
      <c r="K42">
        <v>0</v>
      </c>
      <c r="L42">
        <v>0</v>
      </c>
      <c r="M42">
        <v>0</v>
      </c>
      <c r="N42" s="86" t="s">
        <v>1077</v>
      </c>
      <c r="O42" s="73" t="s">
        <v>227</v>
      </c>
      <c r="P42" s="71"/>
      <c r="Q42" s="71">
        <v>34835</v>
      </c>
      <c r="R42" s="71">
        <v>144000</v>
      </c>
      <c r="S42" s="71">
        <v>178835</v>
      </c>
    </row>
    <row r="43" spans="1:19" x14ac:dyDescent="0.3">
      <c r="A43" s="86" t="s">
        <v>1078</v>
      </c>
      <c r="B43" s="86" t="s">
        <v>47</v>
      </c>
      <c r="C43" s="86" t="s">
        <v>218</v>
      </c>
      <c r="D43" s="86" t="s">
        <v>220</v>
      </c>
      <c r="E43" s="86" t="s">
        <v>219</v>
      </c>
      <c r="F43" s="86" t="s">
        <v>47</v>
      </c>
      <c r="G43" s="86" t="s">
        <v>48</v>
      </c>
      <c r="H43" s="86" t="s">
        <v>141</v>
      </c>
      <c r="I43">
        <v>95000</v>
      </c>
      <c r="J43">
        <v>0</v>
      </c>
      <c r="K43">
        <v>0</v>
      </c>
      <c r="L43">
        <v>95000</v>
      </c>
      <c r="M43">
        <v>0</v>
      </c>
      <c r="N43" s="86" t="s">
        <v>1077</v>
      </c>
      <c r="O43" s="73" t="s">
        <v>230</v>
      </c>
      <c r="P43" s="71"/>
      <c r="Q43" s="71">
        <v>51975</v>
      </c>
      <c r="R43" s="71">
        <v>0</v>
      </c>
      <c r="S43" s="71">
        <v>51975</v>
      </c>
    </row>
    <row r="44" spans="1:19" x14ac:dyDescent="0.3">
      <c r="A44" s="86" t="s">
        <v>1078</v>
      </c>
      <c r="B44" s="86" t="s">
        <v>47</v>
      </c>
      <c r="C44" s="86" t="s">
        <v>221</v>
      </c>
      <c r="D44" s="86" t="s">
        <v>223</v>
      </c>
      <c r="E44" s="86" t="s">
        <v>222</v>
      </c>
      <c r="F44" s="86" t="s">
        <v>47</v>
      </c>
      <c r="G44" s="86" t="s">
        <v>48</v>
      </c>
      <c r="H44" s="86" t="s">
        <v>141</v>
      </c>
      <c r="I44">
        <v>0</v>
      </c>
      <c r="J44">
        <v>0</v>
      </c>
      <c r="K44">
        <v>0</v>
      </c>
      <c r="L44">
        <v>0</v>
      </c>
      <c r="M44">
        <v>0</v>
      </c>
      <c r="N44" s="86" t="s">
        <v>1077</v>
      </c>
      <c r="O44" s="73" t="s">
        <v>236</v>
      </c>
      <c r="P44" s="71"/>
      <c r="Q44" s="71"/>
      <c r="R44" s="71">
        <v>0</v>
      </c>
      <c r="S44" s="71">
        <v>0</v>
      </c>
    </row>
    <row r="45" spans="1:19" x14ac:dyDescent="0.3">
      <c r="A45" s="86" t="s">
        <v>1078</v>
      </c>
      <c r="B45" s="86" t="s">
        <v>47</v>
      </c>
      <c r="C45" s="86" t="s">
        <v>224</v>
      </c>
      <c r="D45" s="86" t="s">
        <v>226</v>
      </c>
      <c r="E45" s="86" t="s">
        <v>225</v>
      </c>
      <c r="F45" s="86" t="s">
        <v>47</v>
      </c>
      <c r="G45" s="86" t="s">
        <v>48</v>
      </c>
      <c r="H45" s="86" t="s">
        <v>141</v>
      </c>
      <c r="I45">
        <v>287235</v>
      </c>
      <c r="J45">
        <v>0</v>
      </c>
      <c r="K45">
        <v>0</v>
      </c>
      <c r="L45">
        <v>287235</v>
      </c>
      <c r="M45">
        <v>0</v>
      </c>
      <c r="N45" s="86" t="s">
        <v>1077</v>
      </c>
      <c r="O45" s="73" t="s">
        <v>239</v>
      </c>
      <c r="P45" s="71"/>
      <c r="Q45" s="71"/>
      <c r="R45" s="71">
        <v>0</v>
      </c>
      <c r="S45" s="71">
        <v>0</v>
      </c>
    </row>
    <row r="46" spans="1:19" x14ac:dyDescent="0.3">
      <c r="A46" s="86" t="s">
        <v>1078</v>
      </c>
      <c r="B46" s="86" t="s">
        <v>47</v>
      </c>
      <c r="C46" s="86" t="s">
        <v>227</v>
      </c>
      <c r="D46" s="86" t="s">
        <v>229</v>
      </c>
      <c r="E46" s="86" t="s">
        <v>228</v>
      </c>
      <c r="F46" s="86" t="s">
        <v>47</v>
      </c>
      <c r="G46" s="86" t="s">
        <v>48</v>
      </c>
      <c r="H46" s="86" t="s">
        <v>141</v>
      </c>
      <c r="I46">
        <v>144000</v>
      </c>
      <c r="J46">
        <v>0</v>
      </c>
      <c r="K46">
        <v>0</v>
      </c>
      <c r="L46">
        <v>144000</v>
      </c>
      <c r="M46">
        <v>0</v>
      </c>
      <c r="N46" s="86" t="s">
        <v>1077</v>
      </c>
      <c r="O46" s="73" t="s">
        <v>242</v>
      </c>
      <c r="P46" s="71"/>
      <c r="Q46" s="71"/>
      <c r="R46" s="71">
        <v>0</v>
      </c>
      <c r="S46" s="71">
        <v>0</v>
      </c>
    </row>
    <row r="47" spans="1:19" x14ac:dyDescent="0.3">
      <c r="A47" s="86" t="s">
        <v>1078</v>
      </c>
      <c r="B47" s="86" t="s">
        <v>47</v>
      </c>
      <c r="C47" s="86" t="s">
        <v>230</v>
      </c>
      <c r="D47" s="86" t="s">
        <v>232</v>
      </c>
      <c r="E47" s="86" t="s">
        <v>231</v>
      </c>
      <c r="F47" s="86" t="s">
        <v>47</v>
      </c>
      <c r="G47" s="86" t="s">
        <v>48</v>
      </c>
      <c r="H47" s="86" t="s">
        <v>141</v>
      </c>
      <c r="I47">
        <v>0</v>
      </c>
      <c r="J47">
        <v>0</v>
      </c>
      <c r="K47">
        <v>0</v>
      </c>
      <c r="L47">
        <v>0</v>
      </c>
      <c r="M47">
        <v>0</v>
      </c>
      <c r="N47" s="86" t="s">
        <v>1077</v>
      </c>
      <c r="O47" s="73" t="s">
        <v>249</v>
      </c>
      <c r="P47" s="71"/>
      <c r="Q47" s="71">
        <v>57052</v>
      </c>
      <c r="R47" s="71">
        <v>0</v>
      </c>
      <c r="S47" s="71">
        <v>57052</v>
      </c>
    </row>
    <row r="48" spans="1:19" x14ac:dyDescent="0.3">
      <c r="A48" s="86" t="s">
        <v>1078</v>
      </c>
      <c r="B48" s="86" t="s">
        <v>47</v>
      </c>
      <c r="C48" s="86" t="s">
        <v>236</v>
      </c>
      <c r="D48" s="86" t="s">
        <v>238</v>
      </c>
      <c r="E48" s="86" t="s">
        <v>237</v>
      </c>
      <c r="F48" s="86" t="s">
        <v>47</v>
      </c>
      <c r="G48" s="86" t="s">
        <v>48</v>
      </c>
      <c r="H48" s="86" t="s">
        <v>141</v>
      </c>
      <c r="I48">
        <v>0</v>
      </c>
      <c r="J48">
        <v>0</v>
      </c>
      <c r="K48">
        <v>0</v>
      </c>
      <c r="L48">
        <v>0</v>
      </c>
      <c r="M48">
        <v>0</v>
      </c>
      <c r="N48" s="86" t="s">
        <v>1077</v>
      </c>
      <c r="O48" s="73" t="s">
        <v>252</v>
      </c>
      <c r="P48" s="71"/>
      <c r="Q48" s="71">
        <v>898220</v>
      </c>
      <c r="R48" s="71">
        <v>1077000</v>
      </c>
      <c r="S48" s="71">
        <v>1975220</v>
      </c>
    </row>
    <row r="49" spans="1:19" x14ac:dyDescent="0.3">
      <c r="A49" s="86" t="s">
        <v>1078</v>
      </c>
      <c r="B49" s="86" t="s">
        <v>47</v>
      </c>
      <c r="C49" s="86" t="s">
        <v>239</v>
      </c>
      <c r="D49" s="86" t="s">
        <v>241</v>
      </c>
      <c r="E49" s="86" t="s">
        <v>240</v>
      </c>
      <c r="F49" s="86" t="s">
        <v>47</v>
      </c>
      <c r="G49" s="86" t="s">
        <v>48</v>
      </c>
      <c r="H49" s="86" t="s">
        <v>141</v>
      </c>
      <c r="I49">
        <v>0</v>
      </c>
      <c r="J49">
        <v>0</v>
      </c>
      <c r="K49">
        <v>0</v>
      </c>
      <c r="L49">
        <v>0</v>
      </c>
      <c r="M49">
        <v>0</v>
      </c>
      <c r="N49" s="86" t="s">
        <v>1077</v>
      </c>
      <c r="O49" s="73" t="s">
        <v>255</v>
      </c>
      <c r="P49" s="71"/>
      <c r="Q49" s="71">
        <v>117570</v>
      </c>
      <c r="R49" s="71">
        <v>578000</v>
      </c>
      <c r="S49" s="71">
        <v>695570</v>
      </c>
    </row>
    <row r="50" spans="1:19" x14ac:dyDescent="0.3">
      <c r="A50" s="86" t="s">
        <v>1078</v>
      </c>
      <c r="B50" s="86" t="s">
        <v>47</v>
      </c>
      <c r="C50" s="86" t="s">
        <v>242</v>
      </c>
      <c r="D50" s="86" t="s">
        <v>244</v>
      </c>
      <c r="E50" s="86" t="s">
        <v>243</v>
      </c>
      <c r="F50" s="86" t="s">
        <v>47</v>
      </c>
      <c r="G50" s="86" t="s">
        <v>48</v>
      </c>
      <c r="H50" s="86" t="s">
        <v>141</v>
      </c>
      <c r="I50">
        <v>0</v>
      </c>
      <c r="J50">
        <v>0</v>
      </c>
      <c r="K50">
        <v>0</v>
      </c>
      <c r="L50">
        <v>0</v>
      </c>
      <c r="M50">
        <v>0</v>
      </c>
      <c r="N50" s="86" t="s">
        <v>1077</v>
      </c>
      <c r="O50" s="73" t="s">
        <v>258</v>
      </c>
      <c r="P50" s="71"/>
      <c r="Q50" s="71"/>
      <c r="R50" s="71">
        <v>0</v>
      </c>
      <c r="S50" s="71">
        <v>0</v>
      </c>
    </row>
    <row r="51" spans="1:19" x14ac:dyDescent="0.3">
      <c r="A51" s="86" t="s">
        <v>1078</v>
      </c>
      <c r="B51" s="86" t="s">
        <v>47</v>
      </c>
      <c r="C51" s="86" t="s">
        <v>249</v>
      </c>
      <c r="D51" s="86" t="s">
        <v>251</v>
      </c>
      <c r="E51" s="86" t="s">
        <v>250</v>
      </c>
      <c r="F51" s="86" t="s">
        <v>47</v>
      </c>
      <c r="G51" s="86" t="s">
        <v>48</v>
      </c>
      <c r="H51" s="86" t="s">
        <v>141</v>
      </c>
      <c r="I51">
        <v>0</v>
      </c>
      <c r="J51">
        <v>0</v>
      </c>
      <c r="K51">
        <v>0</v>
      </c>
      <c r="L51">
        <v>0</v>
      </c>
      <c r="M51">
        <v>0</v>
      </c>
      <c r="N51" s="86" t="s">
        <v>1077</v>
      </c>
      <c r="O51" s="73" t="s">
        <v>261</v>
      </c>
      <c r="P51" s="71"/>
      <c r="Q51" s="71"/>
      <c r="R51" s="71">
        <v>0</v>
      </c>
      <c r="S51" s="71">
        <v>0</v>
      </c>
    </row>
    <row r="52" spans="1:19" x14ac:dyDescent="0.3">
      <c r="A52" s="86" t="s">
        <v>1078</v>
      </c>
      <c r="B52" s="86" t="s">
        <v>47</v>
      </c>
      <c r="C52" s="86" t="s">
        <v>252</v>
      </c>
      <c r="D52" s="86" t="s">
        <v>254</v>
      </c>
      <c r="E52" s="86" t="s">
        <v>253</v>
      </c>
      <c r="F52" s="86" t="s">
        <v>47</v>
      </c>
      <c r="G52" s="86" t="s">
        <v>48</v>
      </c>
      <c r="H52" s="86" t="s">
        <v>141</v>
      </c>
      <c r="I52">
        <v>1353000</v>
      </c>
      <c r="J52">
        <v>3519000</v>
      </c>
      <c r="K52">
        <v>3795000</v>
      </c>
      <c r="L52">
        <v>1077000</v>
      </c>
      <c r="M52">
        <v>0</v>
      </c>
      <c r="N52" s="86" t="s">
        <v>1077</v>
      </c>
      <c r="O52" s="73" t="s">
        <v>264</v>
      </c>
      <c r="P52" s="71"/>
      <c r="Q52" s="71"/>
      <c r="R52" s="71">
        <v>0</v>
      </c>
      <c r="S52" s="71">
        <v>0</v>
      </c>
    </row>
    <row r="53" spans="1:19" x14ac:dyDescent="0.3">
      <c r="A53" s="86" t="s">
        <v>1078</v>
      </c>
      <c r="B53" s="86" t="s">
        <v>47</v>
      </c>
      <c r="C53" s="86" t="s">
        <v>255</v>
      </c>
      <c r="D53" s="86" t="s">
        <v>257</v>
      </c>
      <c r="E53" s="86" t="s">
        <v>256</v>
      </c>
      <c r="F53" s="86" t="s">
        <v>47</v>
      </c>
      <c r="G53" s="86" t="s">
        <v>48</v>
      </c>
      <c r="H53" s="86" t="s">
        <v>141</v>
      </c>
      <c r="I53">
        <v>578000</v>
      </c>
      <c r="J53">
        <v>0</v>
      </c>
      <c r="K53">
        <v>0</v>
      </c>
      <c r="L53">
        <v>578000</v>
      </c>
      <c r="M53">
        <v>0</v>
      </c>
      <c r="N53" s="86" t="s">
        <v>1077</v>
      </c>
      <c r="O53" s="73" t="s">
        <v>267</v>
      </c>
      <c r="P53" s="71"/>
      <c r="Q53" s="71"/>
      <c r="R53" s="71">
        <v>0</v>
      </c>
      <c r="S53" s="71">
        <v>0</v>
      </c>
    </row>
    <row r="54" spans="1:19" x14ac:dyDescent="0.3">
      <c r="A54" s="86" t="s">
        <v>1078</v>
      </c>
      <c r="B54" s="86" t="s">
        <v>47</v>
      </c>
      <c r="C54" s="86" t="s">
        <v>258</v>
      </c>
      <c r="D54" s="86" t="s">
        <v>260</v>
      </c>
      <c r="E54" s="86" t="s">
        <v>259</v>
      </c>
      <c r="F54" s="86" t="s">
        <v>47</v>
      </c>
      <c r="G54" s="86" t="s">
        <v>48</v>
      </c>
      <c r="H54" s="86" t="s">
        <v>141</v>
      </c>
      <c r="I54">
        <v>0</v>
      </c>
      <c r="J54">
        <v>0</v>
      </c>
      <c r="K54">
        <v>0</v>
      </c>
      <c r="L54">
        <v>0</v>
      </c>
      <c r="M54">
        <v>0</v>
      </c>
      <c r="N54" s="86" t="s">
        <v>1077</v>
      </c>
      <c r="O54" s="73" t="s">
        <v>270</v>
      </c>
      <c r="P54" s="71"/>
      <c r="Q54" s="71"/>
      <c r="R54" s="71">
        <v>0</v>
      </c>
      <c r="S54" s="71">
        <v>0</v>
      </c>
    </row>
    <row r="55" spans="1:19" x14ac:dyDescent="0.3">
      <c r="A55" s="86" t="s">
        <v>1078</v>
      </c>
      <c r="B55" s="86" t="s">
        <v>47</v>
      </c>
      <c r="C55" s="86" t="s">
        <v>261</v>
      </c>
      <c r="D55" s="86" t="s">
        <v>263</v>
      </c>
      <c r="E55" s="86" t="s">
        <v>262</v>
      </c>
      <c r="F55" s="86" t="s">
        <v>47</v>
      </c>
      <c r="G55" s="86" t="s">
        <v>48</v>
      </c>
      <c r="H55" s="86" t="s">
        <v>141</v>
      </c>
      <c r="I55">
        <v>0</v>
      </c>
      <c r="J55">
        <v>0</v>
      </c>
      <c r="K55">
        <v>0</v>
      </c>
      <c r="L55">
        <v>0</v>
      </c>
      <c r="M55">
        <v>0</v>
      </c>
      <c r="N55" s="86" t="s">
        <v>1077</v>
      </c>
      <c r="O55" s="73" t="s">
        <v>273</v>
      </c>
      <c r="P55" s="71"/>
      <c r="Q55" s="71"/>
      <c r="R55" s="71">
        <v>0</v>
      </c>
      <c r="S55" s="71">
        <v>0</v>
      </c>
    </row>
    <row r="56" spans="1:19" x14ac:dyDescent="0.3">
      <c r="A56" s="86" t="s">
        <v>1078</v>
      </c>
      <c r="B56" s="86" t="s">
        <v>47</v>
      </c>
      <c r="C56" s="86" t="s">
        <v>264</v>
      </c>
      <c r="D56" s="86" t="s">
        <v>266</v>
      </c>
      <c r="E56" s="86" t="s">
        <v>265</v>
      </c>
      <c r="F56" s="86" t="s">
        <v>47</v>
      </c>
      <c r="G56" s="86" t="s">
        <v>48</v>
      </c>
      <c r="H56" s="86" t="s">
        <v>141</v>
      </c>
      <c r="I56">
        <v>0</v>
      </c>
      <c r="J56">
        <v>0</v>
      </c>
      <c r="K56">
        <v>0</v>
      </c>
      <c r="L56">
        <v>0</v>
      </c>
      <c r="M56">
        <v>0</v>
      </c>
      <c r="N56" s="86" t="s">
        <v>1077</v>
      </c>
      <c r="O56" s="73" t="s">
        <v>276</v>
      </c>
      <c r="P56" s="71"/>
      <c r="Q56" s="71"/>
      <c r="R56" s="71">
        <v>0</v>
      </c>
      <c r="S56" s="71">
        <v>0</v>
      </c>
    </row>
    <row r="57" spans="1:19" x14ac:dyDescent="0.3">
      <c r="A57" s="86" t="s">
        <v>1078</v>
      </c>
      <c r="B57" s="86" t="s">
        <v>47</v>
      </c>
      <c r="C57" s="86" t="s">
        <v>267</v>
      </c>
      <c r="D57" s="86" t="s">
        <v>269</v>
      </c>
      <c r="E57" s="86" t="s">
        <v>268</v>
      </c>
      <c r="F57" s="86" t="s">
        <v>47</v>
      </c>
      <c r="G57" s="86" t="s">
        <v>48</v>
      </c>
      <c r="H57" s="86" t="s">
        <v>141</v>
      </c>
      <c r="I57">
        <v>0</v>
      </c>
      <c r="J57">
        <v>0</v>
      </c>
      <c r="K57">
        <v>0</v>
      </c>
      <c r="L57">
        <v>0</v>
      </c>
      <c r="M57">
        <v>0</v>
      </c>
      <c r="N57" s="86" t="s">
        <v>1077</v>
      </c>
      <c r="O57" s="73" t="s">
        <v>279</v>
      </c>
      <c r="P57" s="71"/>
      <c r="Q57" s="71">
        <v>21034</v>
      </c>
      <c r="R57" s="71">
        <v>0</v>
      </c>
      <c r="S57" s="71">
        <v>21034</v>
      </c>
    </row>
    <row r="58" spans="1:19" x14ac:dyDescent="0.3">
      <c r="A58" s="86" t="s">
        <v>1078</v>
      </c>
      <c r="B58" s="86" t="s">
        <v>47</v>
      </c>
      <c r="C58" s="86" t="s">
        <v>270</v>
      </c>
      <c r="D58" s="86" t="s">
        <v>272</v>
      </c>
      <c r="E58" s="86" t="s">
        <v>271</v>
      </c>
      <c r="F58" s="86" t="s">
        <v>47</v>
      </c>
      <c r="G58" s="86" t="s">
        <v>48</v>
      </c>
      <c r="H58" s="86" t="s">
        <v>141</v>
      </c>
      <c r="I58">
        <v>0</v>
      </c>
      <c r="J58">
        <v>0</v>
      </c>
      <c r="K58">
        <v>0</v>
      </c>
      <c r="L58">
        <v>0</v>
      </c>
      <c r="M58">
        <v>0</v>
      </c>
      <c r="N58" s="86" t="s">
        <v>1077</v>
      </c>
      <c r="O58" s="73" t="s">
        <v>282</v>
      </c>
      <c r="P58" s="71"/>
      <c r="Q58" s="71">
        <v>157408</v>
      </c>
      <c r="R58" s="71">
        <v>258000</v>
      </c>
      <c r="S58" s="71">
        <v>415408</v>
      </c>
    </row>
    <row r="59" spans="1:19" x14ac:dyDescent="0.3">
      <c r="A59" s="86" t="s">
        <v>1078</v>
      </c>
      <c r="B59" s="86" t="s">
        <v>47</v>
      </c>
      <c r="C59" s="86" t="s">
        <v>273</v>
      </c>
      <c r="D59" s="86" t="s">
        <v>275</v>
      </c>
      <c r="E59" s="86" t="s">
        <v>274</v>
      </c>
      <c r="F59" s="86" t="s">
        <v>47</v>
      </c>
      <c r="G59" s="86" t="s">
        <v>48</v>
      </c>
      <c r="H59" s="86" t="s">
        <v>141</v>
      </c>
      <c r="I59">
        <v>0</v>
      </c>
      <c r="J59">
        <v>0</v>
      </c>
      <c r="K59">
        <v>0</v>
      </c>
      <c r="L59">
        <v>0</v>
      </c>
      <c r="M59">
        <v>0</v>
      </c>
      <c r="N59" s="86" t="s">
        <v>1077</v>
      </c>
      <c r="O59" s="73" t="s">
        <v>285</v>
      </c>
      <c r="P59" s="71"/>
      <c r="Q59" s="71">
        <v>20117</v>
      </c>
      <c r="R59" s="71">
        <v>290000</v>
      </c>
      <c r="S59" s="71">
        <v>310117</v>
      </c>
    </row>
    <row r="60" spans="1:19" x14ac:dyDescent="0.3">
      <c r="A60" s="86" t="s">
        <v>1078</v>
      </c>
      <c r="B60" s="86" t="s">
        <v>47</v>
      </c>
      <c r="C60" s="86" t="s">
        <v>276</v>
      </c>
      <c r="D60" s="86" t="s">
        <v>278</v>
      </c>
      <c r="E60" s="86" t="s">
        <v>277</v>
      </c>
      <c r="F60" s="86" t="s">
        <v>47</v>
      </c>
      <c r="G60" s="86" t="s">
        <v>48</v>
      </c>
      <c r="H60" s="86" t="s">
        <v>141</v>
      </c>
      <c r="I60">
        <v>0</v>
      </c>
      <c r="J60">
        <v>0</v>
      </c>
      <c r="K60">
        <v>0</v>
      </c>
      <c r="L60">
        <v>0</v>
      </c>
      <c r="M60">
        <v>0</v>
      </c>
      <c r="N60" s="86" t="s">
        <v>1077</v>
      </c>
      <c r="O60" s="73" t="s">
        <v>288</v>
      </c>
      <c r="P60" s="71"/>
      <c r="Q60" s="71">
        <v>36669</v>
      </c>
      <c r="R60" s="71">
        <v>300000</v>
      </c>
      <c r="S60" s="71">
        <v>336669</v>
      </c>
    </row>
    <row r="61" spans="1:19" x14ac:dyDescent="0.3">
      <c r="A61" s="86" t="s">
        <v>1078</v>
      </c>
      <c r="B61" s="86" t="s">
        <v>47</v>
      </c>
      <c r="C61" s="86" t="s">
        <v>279</v>
      </c>
      <c r="D61" s="86" t="s">
        <v>281</v>
      </c>
      <c r="E61" s="86" t="s">
        <v>280</v>
      </c>
      <c r="F61" s="86" t="s">
        <v>47</v>
      </c>
      <c r="G61" s="86" t="s">
        <v>48</v>
      </c>
      <c r="H61" s="86" t="s">
        <v>141</v>
      </c>
      <c r="I61">
        <v>0</v>
      </c>
      <c r="J61">
        <v>0</v>
      </c>
      <c r="K61">
        <v>0</v>
      </c>
      <c r="L61">
        <v>0</v>
      </c>
      <c r="M61">
        <v>0</v>
      </c>
      <c r="N61" s="86" t="s">
        <v>1077</v>
      </c>
      <c r="O61" s="73" t="s">
        <v>291</v>
      </c>
      <c r="P61" s="71"/>
      <c r="Q61" s="71">
        <v>436765</v>
      </c>
      <c r="R61" s="71">
        <v>0</v>
      </c>
      <c r="S61" s="71">
        <v>436765</v>
      </c>
    </row>
    <row r="62" spans="1:19" x14ac:dyDescent="0.3">
      <c r="A62" s="86" t="s">
        <v>1078</v>
      </c>
      <c r="B62" s="86" t="s">
        <v>47</v>
      </c>
      <c r="C62" s="86" t="s">
        <v>282</v>
      </c>
      <c r="D62" s="86" t="s">
        <v>284</v>
      </c>
      <c r="E62" s="86" t="s">
        <v>283</v>
      </c>
      <c r="F62" s="86" t="s">
        <v>47</v>
      </c>
      <c r="G62" s="86" t="s">
        <v>48</v>
      </c>
      <c r="H62" s="86" t="s">
        <v>141</v>
      </c>
      <c r="I62">
        <v>258000</v>
      </c>
      <c r="J62">
        <v>0</v>
      </c>
      <c r="K62">
        <v>0</v>
      </c>
      <c r="L62">
        <v>258000</v>
      </c>
      <c r="M62">
        <v>0</v>
      </c>
      <c r="N62" s="86" t="s">
        <v>1077</v>
      </c>
      <c r="O62" s="73" t="s">
        <v>300</v>
      </c>
      <c r="P62" s="71"/>
      <c r="Q62" s="71">
        <v>72363</v>
      </c>
      <c r="R62" s="71">
        <v>0</v>
      </c>
      <c r="S62" s="71">
        <v>72363</v>
      </c>
    </row>
    <row r="63" spans="1:19" x14ac:dyDescent="0.3">
      <c r="A63" s="86" t="s">
        <v>1078</v>
      </c>
      <c r="B63" s="86" t="s">
        <v>47</v>
      </c>
      <c r="C63" s="86" t="s">
        <v>285</v>
      </c>
      <c r="D63" s="86" t="s">
        <v>287</v>
      </c>
      <c r="E63" s="86" t="s">
        <v>286</v>
      </c>
      <c r="F63" s="86" t="s">
        <v>47</v>
      </c>
      <c r="G63" s="86" t="s">
        <v>48</v>
      </c>
      <c r="H63" s="86" t="s">
        <v>141</v>
      </c>
      <c r="I63">
        <v>290000</v>
      </c>
      <c r="J63">
        <v>0</v>
      </c>
      <c r="K63">
        <v>0</v>
      </c>
      <c r="L63">
        <v>290000</v>
      </c>
      <c r="M63">
        <v>0</v>
      </c>
      <c r="N63" s="86" t="s">
        <v>1077</v>
      </c>
      <c r="O63" s="73" t="s">
        <v>303</v>
      </c>
      <c r="P63" s="71"/>
      <c r="Q63" s="71">
        <v>18648</v>
      </c>
      <c r="R63" s="71">
        <v>340000</v>
      </c>
      <c r="S63" s="71">
        <v>358648</v>
      </c>
    </row>
    <row r="64" spans="1:19" x14ac:dyDescent="0.3">
      <c r="A64" s="86" t="s">
        <v>1078</v>
      </c>
      <c r="B64" s="86" t="s">
        <v>47</v>
      </c>
      <c r="C64" s="86" t="s">
        <v>288</v>
      </c>
      <c r="D64" s="86" t="s">
        <v>290</v>
      </c>
      <c r="E64" s="86" t="s">
        <v>289</v>
      </c>
      <c r="F64" s="86" t="s">
        <v>47</v>
      </c>
      <c r="G64" s="86" t="s">
        <v>48</v>
      </c>
      <c r="H64" s="86" t="s">
        <v>141</v>
      </c>
      <c r="I64">
        <v>300000</v>
      </c>
      <c r="J64">
        <v>0</v>
      </c>
      <c r="K64">
        <v>0</v>
      </c>
      <c r="L64">
        <v>300000</v>
      </c>
      <c r="M64">
        <v>0</v>
      </c>
      <c r="N64" s="86" t="s">
        <v>1077</v>
      </c>
      <c r="O64" s="73" t="s">
        <v>306</v>
      </c>
      <c r="P64" s="71"/>
      <c r="Q64" s="71">
        <v>30875</v>
      </c>
      <c r="R64" s="71">
        <v>384000</v>
      </c>
      <c r="S64" s="71">
        <v>414875</v>
      </c>
    </row>
    <row r="65" spans="1:19" x14ac:dyDescent="0.3">
      <c r="A65" s="86" t="s">
        <v>1078</v>
      </c>
      <c r="B65" s="86" t="s">
        <v>47</v>
      </c>
      <c r="C65" s="86" t="s">
        <v>291</v>
      </c>
      <c r="D65" s="86" t="s">
        <v>293</v>
      </c>
      <c r="E65" s="86" t="s">
        <v>292</v>
      </c>
      <c r="F65" s="86" t="s">
        <v>47</v>
      </c>
      <c r="G65" s="86" t="s">
        <v>48</v>
      </c>
      <c r="H65" s="86" t="s">
        <v>141</v>
      </c>
      <c r="I65">
        <v>650000</v>
      </c>
      <c r="J65">
        <v>0</v>
      </c>
      <c r="K65">
        <v>650000</v>
      </c>
      <c r="L65">
        <v>0</v>
      </c>
      <c r="M65">
        <v>0</v>
      </c>
      <c r="N65" s="86" t="s">
        <v>1077</v>
      </c>
      <c r="O65" s="73" t="s">
        <v>312</v>
      </c>
      <c r="P65" s="71"/>
      <c r="Q65" s="71">
        <v>5894</v>
      </c>
      <c r="R65" s="71">
        <v>41000</v>
      </c>
      <c r="S65" s="71">
        <v>46894</v>
      </c>
    </row>
    <row r="66" spans="1:19" x14ac:dyDescent="0.3">
      <c r="A66" s="86" t="s">
        <v>1078</v>
      </c>
      <c r="B66" s="86" t="s">
        <v>47</v>
      </c>
      <c r="C66" s="86" t="s">
        <v>300</v>
      </c>
      <c r="D66" s="86" t="s">
        <v>302</v>
      </c>
      <c r="E66" s="86" t="s">
        <v>301</v>
      </c>
      <c r="F66" s="86" t="s">
        <v>47</v>
      </c>
      <c r="G66" s="86" t="s">
        <v>48</v>
      </c>
      <c r="H66" s="86" t="s">
        <v>141</v>
      </c>
      <c r="I66">
        <v>0</v>
      </c>
      <c r="J66">
        <v>0</v>
      </c>
      <c r="K66">
        <v>0</v>
      </c>
      <c r="L66">
        <v>0</v>
      </c>
      <c r="M66">
        <v>0</v>
      </c>
      <c r="N66" s="86" t="s">
        <v>1077</v>
      </c>
      <c r="O66" s="73" t="s">
        <v>315</v>
      </c>
      <c r="P66" s="71"/>
      <c r="Q66" s="71"/>
      <c r="R66" s="71">
        <v>0</v>
      </c>
      <c r="S66" s="71">
        <v>0</v>
      </c>
    </row>
    <row r="67" spans="1:19" x14ac:dyDescent="0.3">
      <c r="A67" s="86" t="s">
        <v>1078</v>
      </c>
      <c r="B67" s="86" t="s">
        <v>47</v>
      </c>
      <c r="C67" s="86" t="s">
        <v>303</v>
      </c>
      <c r="D67" s="86" t="s">
        <v>305</v>
      </c>
      <c r="E67" s="86" t="s">
        <v>304</v>
      </c>
      <c r="F67" s="86" t="s">
        <v>47</v>
      </c>
      <c r="G67" s="86" t="s">
        <v>48</v>
      </c>
      <c r="H67" s="86" t="s">
        <v>141</v>
      </c>
      <c r="I67">
        <v>340000</v>
      </c>
      <c r="J67">
        <v>0</v>
      </c>
      <c r="K67">
        <v>0</v>
      </c>
      <c r="L67">
        <v>340000</v>
      </c>
      <c r="M67">
        <v>0</v>
      </c>
      <c r="N67" s="86" t="s">
        <v>1077</v>
      </c>
      <c r="O67" s="73" t="s">
        <v>318</v>
      </c>
      <c r="P67" s="71"/>
      <c r="Q67" s="71">
        <v>0</v>
      </c>
      <c r="R67" s="71">
        <v>528000</v>
      </c>
      <c r="S67" s="71">
        <v>528000</v>
      </c>
    </row>
    <row r="68" spans="1:19" x14ac:dyDescent="0.3">
      <c r="A68" s="86" t="s">
        <v>1078</v>
      </c>
      <c r="B68" s="86" t="s">
        <v>47</v>
      </c>
      <c r="C68" s="86" t="s">
        <v>306</v>
      </c>
      <c r="D68" s="86" t="s">
        <v>308</v>
      </c>
      <c r="E68" s="86" t="s">
        <v>307</v>
      </c>
      <c r="F68" s="86" t="s">
        <v>47</v>
      </c>
      <c r="G68" s="86" t="s">
        <v>48</v>
      </c>
      <c r="H68" s="86" t="s">
        <v>141</v>
      </c>
      <c r="I68">
        <v>384000</v>
      </c>
      <c r="J68">
        <v>0</v>
      </c>
      <c r="K68">
        <v>0</v>
      </c>
      <c r="L68">
        <v>384000</v>
      </c>
      <c r="M68">
        <v>0</v>
      </c>
      <c r="N68" s="86" t="s">
        <v>1077</v>
      </c>
      <c r="O68" s="73" t="s">
        <v>327</v>
      </c>
      <c r="P68" s="71"/>
      <c r="Q68" s="71"/>
      <c r="R68" s="71">
        <v>0</v>
      </c>
      <c r="S68" s="71">
        <v>0</v>
      </c>
    </row>
    <row r="69" spans="1:19" x14ac:dyDescent="0.3">
      <c r="A69" s="86" t="s">
        <v>1078</v>
      </c>
      <c r="B69" s="86" t="s">
        <v>47</v>
      </c>
      <c r="C69" s="86" t="s">
        <v>312</v>
      </c>
      <c r="D69" s="86" t="s">
        <v>314</v>
      </c>
      <c r="E69" s="86" t="s">
        <v>313</v>
      </c>
      <c r="F69" s="86" t="s">
        <v>47</v>
      </c>
      <c r="G69" s="86" t="s">
        <v>48</v>
      </c>
      <c r="H69" s="86" t="s">
        <v>141</v>
      </c>
      <c r="I69">
        <v>41000</v>
      </c>
      <c r="J69">
        <v>0</v>
      </c>
      <c r="K69">
        <v>0</v>
      </c>
      <c r="L69">
        <v>41000</v>
      </c>
      <c r="M69">
        <v>0</v>
      </c>
      <c r="N69" s="86" t="s">
        <v>1077</v>
      </c>
      <c r="O69" s="73" t="s">
        <v>330</v>
      </c>
      <c r="P69" s="71"/>
      <c r="Q69" s="71"/>
      <c r="R69" s="71">
        <v>0</v>
      </c>
      <c r="S69" s="71">
        <v>0</v>
      </c>
    </row>
    <row r="70" spans="1:19" x14ac:dyDescent="0.3">
      <c r="A70" s="86" t="s">
        <v>1078</v>
      </c>
      <c r="B70" s="86" t="s">
        <v>47</v>
      </c>
      <c r="C70" s="86" t="s">
        <v>315</v>
      </c>
      <c r="D70" s="86" t="s">
        <v>317</v>
      </c>
      <c r="E70" s="86" t="s">
        <v>316</v>
      </c>
      <c r="F70" s="86" t="s">
        <v>47</v>
      </c>
      <c r="G70" s="86" t="s">
        <v>48</v>
      </c>
      <c r="H70" s="86" t="s">
        <v>141</v>
      </c>
      <c r="I70">
        <v>0</v>
      </c>
      <c r="J70">
        <v>0</v>
      </c>
      <c r="K70">
        <v>0</v>
      </c>
      <c r="L70">
        <v>0</v>
      </c>
      <c r="M70">
        <v>0</v>
      </c>
      <c r="N70" s="86" t="s">
        <v>1077</v>
      </c>
      <c r="O70" s="73" t="s">
        <v>333</v>
      </c>
      <c r="P70" s="71"/>
      <c r="Q70" s="71">
        <v>68513</v>
      </c>
      <c r="R70" s="71">
        <v>48000</v>
      </c>
      <c r="S70" s="71">
        <v>116513</v>
      </c>
    </row>
    <row r="71" spans="1:19" x14ac:dyDescent="0.3">
      <c r="A71" s="86" t="s">
        <v>1078</v>
      </c>
      <c r="B71" s="86" t="s">
        <v>47</v>
      </c>
      <c r="C71" s="86" t="s">
        <v>318</v>
      </c>
      <c r="D71" s="86" t="s">
        <v>320</v>
      </c>
      <c r="E71" s="86" t="s">
        <v>319</v>
      </c>
      <c r="F71" s="86" t="s">
        <v>47</v>
      </c>
      <c r="G71" s="86" t="s">
        <v>48</v>
      </c>
      <c r="H71" s="86" t="s">
        <v>141</v>
      </c>
      <c r="I71">
        <v>767000</v>
      </c>
      <c r="J71">
        <v>0</v>
      </c>
      <c r="K71">
        <v>239000</v>
      </c>
      <c r="L71">
        <v>528000</v>
      </c>
      <c r="M71">
        <v>0</v>
      </c>
      <c r="N71" s="86" t="s">
        <v>1077</v>
      </c>
      <c r="O71" s="73" t="s">
        <v>336</v>
      </c>
      <c r="P71" s="71"/>
      <c r="Q71" s="71">
        <v>16779</v>
      </c>
      <c r="R71" s="71">
        <v>144000</v>
      </c>
      <c r="S71" s="71">
        <v>160779</v>
      </c>
    </row>
    <row r="72" spans="1:19" x14ac:dyDescent="0.3">
      <c r="A72" s="86" t="s">
        <v>1078</v>
      </c>
      <c r="B72" s="86" t="s">
        <v>47</v>
      </c>
      <c r="C72" s="86" t="s">
        <v>327</v>
      </c>
      <c r="D72" s="86" t="s">
        <v>329</v>
      </c>
      <c r="E72" s="86" t="s">
        <v>328</v>
      </c>
      <c r="F72" s="86" t="s">
        <v>47</v>
      </c>
      <c r="G72" s="86" t="s">
        <v>48</v>
      </c>
      <c r="H72" s="86" t="s">
        <v>141</v>
      </c>
      <c r="I72">
        <v>522000</v>
      </c>
      <c r="J72">
        <v>0</v>
      </c>
      <c r="K72">
        <v>522000</v>
      </c>
      <c r="L72">
        <v>0</v>
      </c>
      <c r="M72">
        <v>0</v>
      </c>
      <c r="N72" s="86" t="s">
        <v>1077</v>
      </c>
      <c r="O72" s="73" t="s">
        <v>339</v>
      </c>
      <c r="P72" s="71"/>
      <c r="Q72" s="71">
        <v>10798</v>
      </c>
      <c r="R72" s="71">
        <v>131000</v>
      </c>
      <c r="S72" s="71">
        <v>141798</v>
      </c>
    </row>
    <row r="73" spans="1:19" x14ac:dyDescent="0.3">
      <c r="A73" s="86" t="s">
        <v>1078</v>
      </c>
      <c r="B73" s="86" t="s">
        <v>47</v>
      </c>
      <c r="C73" s="86" t="s">
        <v>330</v>
      </c>
      <c r="D73" s="86" t="s">
        <v>332</v>
      </c>
      <c r="E73" s="86" t="s">
        <v>331</v>
      </c>
      <c r="F73" s="86" t="s">
        <v>47</v>
      </c>
      <c r="G73" s="86" t="s">
        <v>48</v>
      </c>
      <c r="H73" s="86" t="s">
        <v>141</v>
      </c>
      <c r="I73">
        <v>0</v>
      </c>
      <c r="J73">
        <v>0</v>
      </c>
      <c r="K73">
        <v>0</v>
      </c>
      <c r="L73">
        <v>0</v>
      </c>
      <c r="M73">
        <v>0</v>
      </c>
      <c r="N73" s="86" t="s">
        <v>1077</v>
      </c>
      <c r="O73" s="73" t="s">
        <v>342</v>
      </c>
      <c r="P73" s="71"/>
      <c r="Q73" s="71">
        <v>117383</v>
      </c>
      <c r="R73" s="71">
        <v>0</v>
      </c>
      <c r="S73" s="71">
        <v>117383</v>
      </c>
    </row>
    <row r="74" spans="1:19" x14ac:dyDescent="0.3">
      <c r="A74" s="86" t="s">
        <v>1078</v>
      </c>
      <c r="B74" s="86" t="s">
        <v>47</v>
      </c>
      <c r="C74" s="86" t="s">
        <v>333</v>
      </c>
      <c r="D74" s="86" t="s">
        <v>335</v>
      </c>
      <c r="E74" s="86" t="s">
        <v>334</v>
      </c>
      <c r="F74" s="86" t="s">
        <v>47</v>
      </c>
      <c r="G74" s="86" t="s">
        <v>48</v>
      </c>
      <c r="H74" s="86" t="s">
        <v>141</v>
      </c>
      <c r="I74">
        <v>48000</v>
      </c>
      <c r="J74">
        <v>0</v>
      </c>
      <c r="K74">
        <v>0</v>
      </c>
      <c r="L74">
        <v>48000</v>
      </c>
      <c r="M74">
        <v>0</v>
      </c>
      <c r="N74" s="86" t="s">
        <v>1077</v>
      </c>
      <c r="O74" s="73" t="s">
        <v>345</v>
      </c>
      <c r="P74" s="71"/>
      <c r="Q74" s="71"/>
      <c r="R74" s="71">
        <v>0</v>
      </c>
      <c r="S74" s="71">
        <v>0</v>
      </c>
    </row>
    <row r="75" spans="1:19" x14ac:dyDescent="0.3">
      <c r="A75" s="86" t="s">
        <v>1078</v>
      </c>
      <c r="B75" s="86" t="s">
        <v>47</v>
      </c>
      <c r="C75" s="86" t="s">
        <v>336</v>
      </c>
      <c r="D75" s="86" t="s">
        <v>338</v>
      </c>
      <c r="E75" s="86" t="s">
        <v>337</v>
      </c>
      <c r="F75" s="86" t="s">
        <v>47</v>
      </c>
      <c r="G75" s="86" t="s">
        <v>48</v>
      </c>
      <c r="H75" s="86" t="s">
        <v>141</v>
      </c>
      <c r="I75">
        <v>144000</v>
      </c>
      <c r="J75">
        <v>0</v>
      </c>
      <c r="K75">
        <v>0</v>
      </c>
      <c r="L75">
        <v>144000</v>
      </c>
      <c r="M75">
        <v>0</v>
      </c>
      <c r="N75" s="86" t="s">
        <v>1077</v>
      </c>
      <c r="O75" s="73" t="s">
        <v>348</v>
      </c>
      <c r="P75" s="71"/>
      <c r="Q75" s="71"/>
      <c r="R75" s="71">
        <v>0</v>
      </c>
      <c r="S75" s="71">
        <v>0</v>
      </c>
    </row>
    <row r="76" spans="1:19" x14ac:dyDescent="0.3">
      <c r="A76" s="86" t="s">
        <v>1078</v>
      </c>
      <c r="B76" s="86" t="s">
        <v>47</v>
      </c>
      <c r="C76" s="86" t="s">
        <v>339</v>
      </c>
      <c r="D76" s="86" t="s">
        <v>341</v>
      </c>
      <c r="E76" s="86" t="s">
        <v>340</v>
      </c>
      <c r="F76" s="86" t="s">
        <v>47</v>
      </c>
      <c r="G76" s="86" t="s">
        <v>48</v>
      </c>
      <c r="H76" s="86" t="s">
        <v>141</v>
      </c>
      <c r="I76">
        <v>131000</v>
      </c>
      <c r="J76">
        <v>0</v>
      </c>
      <c r="K76">
        <v>0</v>
      </c>
      <c r="L76">
        <v>131000</v>
      </c>
      <c r="M76">
        <v>0</v>
      </c>
      <c r="N76" s="86" t="s">
        <v>1077</v>
      </c>
      <c r="O76" s="73" t="s">
        <v>354</v>
      </c>
      <c r="P76" s="71"/>
      <c r="Q76" s="71">
        <v>41560</v>
      </c>
      <c r="R76" s="71">
        <v>295000</v>
      </c>
      <c r="S76" s="71">
        <v>336560</v>
      </c>
    </row>
    <row r="77" spans="1:19" x14ac:dyDescent="0.3">
      <c r="A77" s="86" t="s">
        <v>1078</v>
      </c>
      <c r="B77" s="86" t="s">
        <v>47</v>
      </c>
      <c r="C77" s="86" t="s">
        <v>342</v>
      </c>
      <c r="D77" s="86" t="s">
        <v>344</v>
      </c>
      <c r="E77" s="86" t="s">
        <v>1092</v>
      </c>
      <c r="F77" s="86" t="s">
        <v>47</v>
      </c>
      <c r="G77" s="86" t="s">
        <v>48</v>
      </c>
      <c r="H77" s="86" t="s">
        <v>141</v>
      </c>
      <c r="I77">
        <v>96000</v>
      </c>
      <c r="J77">
        <v>0</v>
      </c>
      <c r="K77">
        <v>96000</v>
      </c>
      <c r="L77">
        <v>0</v>
      </c>
      <c r="M77">
        <v>0</v>
      </c>
      <c r="N77" s="86" t="s">
        <v>1077</v>
      </c>
      <c r="O77" s="73" t="s">
        <v>357</v>
      </c>
      <c r="P77" s="71"/>
      <c r="Q77" s="71">
        <v>6118</v>
      </c>
      <c r="R77" s="71">
        <v>283000</v>
      </c>
      <c r="S77" s="71">
        <v>289118</v>
      </c>
    </row>
    <row r="78" spans="1:19" x14ac:dyDescent="0.3">
      <c r="A78" s="86" t="s">
        <v>1078</v>
      </c>
      <c r="B78" s="86" t="s">
        <v>47</v>
      </c>
      <c r="C78" s="86" t="s">
        <v>345</v>
      </c>
      <c r="D78" s="86" t="s">
        <v>347</v>
      </c>
      <c r="E78" s="86" t="s">
        <v>346</v>
      </c>
      <c r="F78" s="86" t="s">
        <v>47</v>
      </c>
      <c r="G78" s="86" t="s">
        <v>48</v>
      </c>
      <c r="H78" s="86" t="s">
        <v>141</v>
      </c>
      <c r="I78">
        <v>0</v>
      </c>
      <c r="J78">
        <v>0</v>
      </c>
      <c r="K78">
        <v>0</v>
      </c>
      <c r="L78">
        <v>0</v>
      </c>
      <c r="M78">
        <v>0</v>
      </c>
      <c r="N78" s="86" t="s">
        <v>1077</v>
      </c>
      <c r="O78" s="73" t="s">
        <v>360</v>
      </c>
      <c r="P78" s="71"/>
      <c r="Q78" s="71">
        <v>47112</v>
      </c>
      <c r="R78" s="71">
        <v>291000</v>
      </c>
      <c r="S78" s="71">
        <v>338112</v>
      </c>
    </row>
    <row r="79" spans="1:19" x14ac:dyDescent="0.3">
      <c r="A79" s="86" t="s">
        <v>1078</v>
      </c>
      <c r="B79" s="86" t="s">
        <v>47</v>
      </c>
      <c r="C79" s="86" t="s">
        <v>348</v>
      </c>
      <c r="D79" s="86" t="s">
        <v>350</v>
      </c>
      <c r="E79" s="86" t="s">
        <v>349</v>
      </c>
      <c r="F79" s="86" t="s">
        <v>47</v>
      </c>
      <c r="G79" s="86" t="s">
        <v>48</v>
      </c>
      <c r="H79" s="86" t="s">
        <v>141</v>
      </c>
      <c r="I79">
        <v>0</v>
      </c>
      <c r="J79">
        <v>0</v>
      </c>
      <c r="K79">
        <v>0</v>
      </c>
      <c r="L79">
        <v>0</v>
      </c>
      <c r="M79">
        <v>0</v>
      </c>
      <c r="N79" s="86" t="s">
        <v>1077</v>
      </c>
      <c r="O79" s="73" t="s">
        <v>363</v>
      </c>
      <c r="P79" s="71"/>
      <c r="Q79" s="71">
        <v>23553</v>
      </c>
      <c r="R79" s="71">
        <v>0</v>
      </c>
      <c r="S79" s="71">
        <v>23553</v>
      </c>
    </row>
    <row r="80" spans="1:19" x14ac:dyDescent="0.3">
      <c r="A80" s="86" t="s">
        <v>1078</v>
      </c>
      <c r="B80" s="86" t="s">
        <v>47</v>
      </c>
      <c r="C80" s="86" t="s">
        <v>354</v>
      </c>
      <c r="D80" s="86" t="s">
        <v>356</v>
      </c>
      <c r="E80" s="86" t="s">
        <v>355</v>
      </c>
      <c r="F80" s="86" t="s">
        <v>47</v>
      </c>
      <c r="G80" s="86" t="s">
        <v>48</v>
      </c>
      <c r="H80" s="86" t="s">
        <v>141</v>
      </c>
      <c r="I80">
        <v>295000</v>
      </c>
      <c r="J80">
        <v>0</v>
      </c>
      <c r="K80">
        <v>0</v>
      </c>
      <c r="L80">
        <v>295000</v>
      </c>
      <c r="M80">
        <v>0</v>
      </c>
      <c r="N80" s="86" t="s">
        <v>1077</v>
      </c>
      <c r="O80" s="73" t="s">
        <v>366</v>
      </c>
      <c r="P80" s="71"/>
      <c r="Q80" s="71">
        <v>20565</v>
      </c>
      <c r="R80" s="71">
        <v>299000</v>
      </c>
      <c r="S80" s="71">
        <v>319565</v>
      </c>
    </row>
    <row r="81" spans="1:19" x14ac:dyDescent="0.3">
      <c r="A81" s="86" t="s">
        <v>1078</v>
      </c>
      <c r="B81" s="86" t="s">
        <v>47</v>
      </c>
      <c r="C81" s="86" t="s">
        <v>357</v>
      </c>
      <c r="D81" s="86" t="s">
        <v>359</v>
      </c>
      <c r="E81" s="86" t="s">
        <v>358</v>
      </c>
      <c r="F81" s="86" t="s">
        <v>47</v>
      </c>
      <c r="G81" s="86" t="s">
        <v>48</v>
      </c>
      <c r="H81" s="86" t="s">
        <v>141</v>
      </c>
      <c r="I81">
        <v>283000</v>
      </c>
      <c r="J81">
        <v>0</v>
      </c>
      <c r="K81">
        <v>0</v>
      </c>
      <c r="L81">
        <v>283000</v>
      </c>
      <c r="M81">
        <v>0</v>
      </c>
      <c r="N81" s="86" t="s">
        <v>1077</v>
      </c>
      <c r="O81" s="73" t="s">
        <v>369</v>
      </c>
      <c r="P81" s="71"/>
      <c r="Q81" s="71">
        <v>57995</v>
      </c>
      <c r="R81" s="71">
        <v>156000</v>
      </c>
      <c r="S81" s="71">
        <v>213995</v>
      </c>
    </row>
    <row r="82" spans="1:19" x14ac:dyDescent="0.3">
      <c r="A82" s="86" t="s">
        <v>1078</v>
      </c>
      <c r="B82" s="86" t="s">
        <v>47</v>
      </c>
      <c r="C82" s="86" t="s">
        <v>360</v>
      </c>
      <c r="D82" s="86" t="s">
        <v>362</v>
      </c>
      <c r="E82" s="86" t="s">
        <v>361</v>
      </c>
      <c r="F82" s="86" t="s">
        <v>47</v>
      </c>
      <c r="G82" s="86" t="s">
        <v>48</v>
      </c>
      <c r="H82" s="86" t="s">
        <v>141</v>
      </c>
      <c r="I82">
        <v>291000</v>
      </c>
      <c r="J82">
        <v>0</v>
      </c>
      <c r="K82">
        <v>0</v>
      </c>
      <c r="L82">
        <v>291000</v>
      </c>
      <c r="M82">
        <v>0</v>
      </c>
      <c r="N82" s="86" t="s">
        <v>1077</v>
      </c>
      <c r="O82" s="73" t="s">
        <v>372</v>
      </c>
      <c r="P82" s="71"/>
      <c r="Q82" s="71"/>
      <c r="R82" s="71">
        <v>0</v>
      </c>
      <c r="S82" s="71">
        <v>0</v>
      </c>
    </row>
    <row r="83" spans="1:19" x14ac:dyDescent="0.3">
      <c r="A83" s="86" t="s">
        <v>1078</v>
      </c>
      <c r="B83" s="86" t="s">
        <v>47</v>
      </c>
      <c r="C83" s="86" t="s">
        <v>363</v>
      </c>
      <c r="D83" s="86" t="s">
        <v>365</v>
      </c>
      <c r="E83" s="86" t="s">
        <v>364</v>
      </c>
      <c r="F83" s="86" t="s">
        <v>47</v>
      </c>
      <c r="G83" s="86" t="s">
        <v>48</v>
      </c>
      <c r="H83" s="86" t="s">
        <v>141</v>
      </c>
      <c r="I83">
        <v>0</v>
      </c>
      <c r="J83">
        <v>0</v>
      </c>
      <c r="K83">
        <v>0</v>
      </c>
      <c r="L83">
        <v>0</v>
      </c>
      <c r="M83">
        <v>0</v>
      </c>
      <c r="N83" s="86" t="s">
        <v>1077</v>
      </c>
      <c r="O83" s="73" t="s">
        <v>375</v>
      </c>
      <c r="P83" s="71"/>
      <c r="Q83" s="71"/>
      <c r="R83" s="71">
        <v>0</v>
      </c>
      <c r="S83" s="71">
        <v>0</v>
      </c>
    </row>
    <row r="84" spans="1:19" x14ac:dyDescent="0.3">
      <c r="A84" s="86" t="s">
        <v>1078</v>
      </c>
      <c r="B84" s="86" t="s">
        <v>47</v>
      </c>
      <c r="C84" s="86" t="s">
        <v>366</v>
      </c>
      <c r="D84" s="86" t="s">
        <v>368</v>
      </c>
      <c r="E84" s="86" t="s">
        <v>367</v>
      </c>
      <c r="F84" s="86" t="s">
        <v>47</v>
      </c>
      <c r="G84" s="86" t="s">
        <v>48</v>
      </c>
      <c r="H84" s="86" t="s">
        <v>141</v>
      </c>
      <c r="I84">
        <v>299000</v>
      </c>
      <c r="J84">
        <v>0</v>
      </c>
      <c r="K84">
        <v>0</v>
      </c>
      <c r="L84">
        <v>299000</v>
      </c>
      <c r="M84">
        <v>0</v>
      </c>
      <c r="N84" s="86" t="s">
        <v>1077</v>
      </c>
      <c r="O84" s="73" t="s">
        <v>378</v>
      </c>
      <c r="P84" s="71"/>
      <c r="Q84" s="71">
        <v>47573</v>
      </c>
      <c r="R84" s="71">
        <v>835000</v>
      </c>
      <c r="S84" s="71">
        <v>882573</v>
      </c>
    </row>
    <row r="85" spans="1:19" x14ac:dyDescent="0.3">
      <c r="A85" s="86" t="s">
        <v>1078</v>
      </c>
      <c r="B85" s="86" t="s">
        <v>47</v>
      </c>
      <c r="C85" s="86" t="s">
        <v>369</v>
      </c>
      <c r="D85" s="86" t="s">
        <v>371</v>
      </c>
      <c r="E85" s="86" t="s">
        <v>370</v>
      </c>
      <c r="F85" s="86" t="s">
        <v>47</v>
      </c>
      <c r="G85" s="86" t="s">
        <v>48</v>
      </c>
      <c r="H85" s="86" t="s">
        <v>141</v>
      </c>
      <c r="I85">
        <v>156000</v>
      </c>
      <c r="J85">
        <v>0</v>
      </c>
      <c r="K85">
        <v>0</v>
      </c>
      <c r="L85">
        <v>156000</v>
      </c>
      <c r="M85">
        <v>0</v>
      </c>
      <c r="N85" s="86" t="s">
        <v>1077</v>
      </c>
      <c r="O85" s="73" t="s">
        <v>381</v>
      </c>
      <c r="P85" s="71"/>
      <c r="Q85" s="71">
        <v>50955</v>
      </c>
      <c r="R85" s="71">
        <v>2229000</v>
      </c>
      <c r="S85" s="71">
        <v>2279955</v>
      </c>
    </row>
    <row r="86" spans="1:19" x14ac:dyDescent="0.3">
      <c r="A86" s="86" t="s">
        <v>1078</v>
      </c>
      <c r="B86" s="86" t="s">
        <v>47</v>
      </c>
      <c r="C86" s="86" t="s">
        <v>372</v>
      </c>
      <c r="D86" s="86" t="s">
        <v>374</v>
      </c>
      <c r="E86" s="86" t="s">
        <v>373</v>
      </c>
      <c r="F86" s="86" t="s">
        <v>47</v>
      </c>
      <c r="G86" s="86" t="s">
        <v>48</v>
      </c>
      <c r="H86" s="86" t="s">
        <v>141</v>
      </c>
      <c r="I86">
        <v>0</v>
      </c>
      <c r="J86">
        <v>0</v>
      </c>
      <c r="K86">
        <v>0</v>
      </c>
      <c r="L86">
        <v>0</v>
      </c>
      <c r="M86">
        <v>0</v>
      </c>
      <c r="N86" s="86" t="s">
        <v>1077</v>
      </c>
      <c r="O86" s="73" t="s">
        <v>384</v>
      </c>
      <c r="P86" s="71"/>
      <c r="Q86" s="71">
        <v>12137</v>
      </c>
      <c r="R86" s="71">
        <v>50000</v>
      </c>
      <c r="S86" s="71">
        <v>62137</v>
      </c>
    </row>
    <row r="87" spans="1:19" x14ac:dyDescent="0.3">
      <c r="A87" s="86" t="s">
        <v>1078</v>
      </c>
      <c r="B87" s="86" t="s">
        <v>47</v>
      </c>
      <c r="C87" s="86" t="s">
        <v>375</v>
      </c>
      <c r="D87" s="86" t="s">
        <v>377</v>
      </c>
      <c r="E87" s="86" t="s">
        <v>376</v>
      </c>
      <c r="F87" s="86" t="s">
        <v>47</v>
      </c>
      <c r="G87" s="86" t="s">
        <v>48</v>
      </c>
      <c r="H87" s="86" t="s">
        <v>141</v>
      </c>
      <c r="I87">
        <v>0</v>
      </c>
      <c r="J87">
        <v>0</v>
      </c>
      <c r="K87">
        <v>0</v>
      </c>
      <c r="L87">
        <v>0</v>
      </c>
      <c r="M87">
        <v>0</v>
      </c>
      <c r="N87" s="86" t="s">
        <v>1077</v>
      </c>
      <c r="O87" s="73" t="s">
        <v>387</v>
      </c>
      <c r="P87" s="71"/>
      <c r="Q87" s="71">
        <v>2922</v>
      </c>
      <c r="R87" s="71">
        <v>41000</v>
      </c>
      <c r="S87" s="71">
        <v>43922</v>
      </c>
    </row>
    <row r="88" spans="1:19" x14ac:dyDescent="0.3">
      <c r="A88" s="86" t="s">
        <v>1078</v>
      </c>
      <c r="B88" s="86" t="s">
        <v>47</v>
      </c>
      <c r="C88" s="86" t="s">
        <v>378</v>
      </c>
      <c r="D88" s="86" t="s">
        <v>380</v>
      </c>
      <c r="E88" s="86" t="s">
        <v>379</v>
      </c>
      <c r="F88" s="86" t="s">
        <v>47</v>
      </c>
      <c r="G88" s="86" t="s">
        <v>48</v>
      </c>
      <c r="H88" s="86" t="s">
        <v>141</v>
      </c>
      <c r="I88">
        <v>1175000</v>
      </c>
      <c r="J88">
        <v>1425000</v>
      </c>
      <c r="K88">
        <v>1765000</v>
      </c>
      <c r="L88">
        <v>835000</v>
      </c>
      <c r="M88">
        <v>0</v>
      </c>
      <c r="N88" s="86" t="s">
        <v>1077</v>
      </c>
      <c r="O88" s="73" t="s">
        <v>390</v>
      </c>
      <c r="P88" s="71"/>
      <c r="Q88" s="71">
        <v>25069</v>
      </c>
      <c r="R88" s="71">
        <v>48000</v>
      </c>
      <c r="S88" s="71">
        <v>73069</v>
      </c>
    </row>
    <row r="89" spans="1:19" x14ac:dyDescent="0.3">
      <c r="A89" s="86" t="s">
        <v>1078</v>
      </c>
      <c r="B89" s="86" t="s">
        <v>47</v>
      </c>
      <c r="C89" s="86" t="s">
        <v>381</v>
      </c>
      <c r="D89" s="86" t="s">
        <v>383</v>
      </c>
      <c r="E89" s="86" t="s">
        <v>382</v>
      </c>
      <c r="F89" s="86" t="s">
        <v>47</v>
      </c>
      <c r="G89" s="86" t="s">
        <v>48</v>
      </c>
      <c r="H89" s="86" t="s">
        <v>141</v>
      </c>
      <c r="I89">
        <v>2229000</v>
      </c>
      <c r="J89">
        <v>0</v>
      </c>
      <c r="K89">
        <v>0</v>
      </c>
      <c r="L89">
        <v>2229000</v>
      </c>
      <c r="M89">
        <v>0</v>
      </c>
      <c r="N89" s="86" t="s">
        <v>1077</v>
      </c>
      <c r="O89" s="73" t="s">
        <v>393</v>
      </c>
      <c r="P89" s="71"/>
      <c r="Q89" s="71">
        <v>27743</v>
      </c>
      <c r="R89" s="71">
        <v>96000</v>
      </c>
      <c r="S89" s="71">
        <v>123743</v>
      </c>
    </row>
    <row r="90" spans="1:19" x14ac:dyDescent="0.3">
      <c r="A90" s="86" t="s">
        <v>1078</v>
      </c>
      <c r="B90" s="86" t="s">
        <v>47</v>
      </c>
      <c r="C90" s="86" t="s">
        <v>384</v>
      </c>
      <c r="D90" s="86" t="s">
        <v>386</v>
      </c>
      <c r="E90" s="86" t="s">
        <v>385</v>
      </c>
      <c r="F90" s="86" t="s">
        <v>47</v>
      </c>
      <c r="G90" s="86" t="s">
        <v>48</v>
      </c>
      <c r="H90" s="86" t="s">
        <v>141</v>
      </c>
      <c r="I90">
        <v>50000</v>
      </c>
      <c r="J90">
        <v>0</v>
      </c>
      <c r="K90">
        <v>0</v>
      </c>
      <c r="L90">
        <v>50000</v>
      </c>
      <c r="M90">
        <v>0</v>
      </c>
      <c r="N90" s="86" t="s">
        <v>1077</v>
      </c>
      <c r="O90" s="73" t="s">
        <v>396</v>
      </c>
      <c r="P90" s="71"/>
      <c r="Q90" s="71">
        <v>56571</v>
      </c>
      <c r="R90" s="71">
        <v>192000</v>
      </c>
      <c r="S90" s="71">
        <v>248571</v>
      </c>
    </row>
    <row r="91" spans="1:19" x14ac:dyDescent="0.3">
      <c r="A91" s="86" t="s">
        <v>1078</v>
      </c>
      <c r="B91" s="86" t="s">
        <v>47</v>
      </c>
      <c r="C91" s="86" t="s">
        <v>387</v>
      </c>
      <c r="D91" s="86" t="s">
        <v>389</v>
      </c>
      <c r="E91" s="86" t="s">
        <v>388</v>
      </c>
      <c r="F91" s="86" t="s">
        <v>47</v>
      </c>
      <c r="G91" s="86" t="s">
        <v>48</v>
      </c>
      <c r="H91" s="86" t="s">
        <v>141</v>
      </c>
      <c r="I91">
        <v>41000</v>
      </c>
      <c r="J91">
        <v>0</v>
      </c>
      <c r="K91">
        <v>0</v>
      </c>
      <c r="L91">
        <v>41000</v>
      </c>
      <c r="M91">
        <v>0</v>
      </c>
      <c r="N91" s="86" t="s">
        <v>1077</v>
      </c>
      <c r="O91" s="73" t="s">
        <v>402</v>
      </c>
      <c r="P91" s="71"/>
      <c r="Q91" s="71"/>
      <c r="R91" s="71">
        <v>0</v>
      </c>
      <c r="S91" s="71">
        <v>0</v>
      </c>
    </row>
    <row r="92" spans="1:19" x14ac:dyDescent="0.3">
      <c r="A92" s="86" t="s">
        <v>1078</v>
      </c>
      <c r="B92" s="86" t="s">
        <v>47</v>
      </c>
      <c r="C92" s="86" t="s">
        <v>390</v>
      </c>
      <c r="D92" s="86" t="s">
        <v>392</v>
      </c>
      <c r="E92" s="86" t="s">
        <v>391</v>
      </c>
      <c r="F92" s="86" t="s">
        <v>47</v>
      </c>
      <c r="G92" s="86" t="s">
        <v>48</v>
      </c>
      <c r="H92" s="86" t="s">
        <v>141</v>
      </c>
      <c r="I92">
        <v>48000</v>
      </c>
      <c r="J92">
        <v>0</v>
      </c>
      <c r="K92">
        <v>0</v>
      </c>
      <c r="L92">
        <v>48000</v>
      </c>
      <c r="M92">
        <v>0</v>
      </c>
      <c r="N92" s="86" t="s">
        <v>1077</v>
      </c>
      <c r="O92" s="73" t="s">
        <v>405</v>
      </c>
      <c r="P92" s="71"/>
      <c r="Q92" s="71"/>
      <c r="R92" s="71">
        <v>0</v>
      </c>
      <c r="S92" s="71">
        <v>0</v>
      </c>
    </row>
    <row r="93" spans="1:19" x14ac:dyDescent="0.3">
      <c r="A93" s="86" t="s">
        <v>1078</v>
      </c>
      <c r="B93" s="86" t="s">
        <v>47</v>
      </c>
      <c r="C93" s="86" t="s">
        <v>393</v>
      </c>
      <c r="D93" s="86" t="s">
        <v>395</v>
      </c>
      <c r="E93" s="86" t="s">
        <v>394</v>
      </c>
      <c r="F93" s="86" t="s">
        <v>47</v>
      </c>
      <c r="G93" s="86" t="s">
        <v>48</v>
      </c>
      <c r="H93" s="86" t="s">
        <v>141</v>
      </c>
      <c r="I93">
        <v>96000</v>
      </c>
      <c r="J93">
        <v>0</v>
      </c>
      <c r="K93">
        <v>0</v>
      </c>
      <c r="L93">
        <v>96000</v>
      </c>
      <c r="M93">
        <v>0</v>
      </c>
      <c r="N93" s="86" t="s">
        <v>1077</v>
      </c>
      <c r="O93" s="73" t="s">
        <v>408</v>
      </c>
      <c r="P93" s="71"/>
      <c r="Q93" s="71"/>
      <c r="R93" s="71">
        <v>0</v>
      </c>
      <c r="S93" s="71">
        <v>0</v>
      </c>
    </row>
    <row r="94" spans="1:19" x14ac:dyDescent="0.3">
      <c r="A94" s="86" t="s">
        <v>1078</v>
      </c>
      <c r="B94" s="86" t="s">
        <v>47</v>
      </c>
      <c r="C94" s="86" t="s">
        <v>396</v>
      </c>
      <c r="D94" s="86" t="s">
        <v>398</v>
      </c>
      <c r="E94" s="86" t="s">
        <v>397</v>
      </c>
      <c r="F94" s="86" t="s">
        <v>47</v>
      </c>
      <c r="G94" s="86" t="s">
        <v>48</v>
      </c>
      <c r="H94" s="86" t="s">
        <v>141</v>
      </c>
      <c r="I94">
        <v>240000</v>
      </c>
      <c r="J94">
        <v>0</v>
      </c>
      <c r="K94">
        <v>48000</v>
      </c>
      <c r="L94">
        <v>192000</v>
      </c>
      <c r="M94">
        <v>0</v>
      </c>
      <c r="N94" s="86" t="s">
        <v>1077</v>
      </c>
      <c r="O94" s="73" t="s">
        <v>411</v>
      </c>
      <c r="P94" s="71"/>
      <c r="Q94" s="71">
        <v>92503</v>
      </c>
      <c r="R94" s="71">
        <v>0</v>
      </c>
      <c r="S94" s="71">
        <v>92503</v>
      </c>
    </row>
    <row r="95" spans="1:19" x14ac:dyDescent="0.3">
      <c r="A95" s="86" t="s">
        <v>1078</v>
      </c>
      <c r="B95" s="86" t="s">
        <v>47</v>
      </c>
      <c r="C95" s="86" t="s">
        <v>402</v>
      </c>
      <c r="D95" s="86" t="s">
        <v>404</v>
      </c>
      <c r="E95" s="86" t="s">
        <v>403</v>
      </c>
      <c r="F95" s="86" t="s">
        <v>47</v>
      </c>
      <c r="G95" s="86" t="s">
        <v>48</v>
      </c>
      <c r="H95" s="86" t="s">
        <v>141</v>
      </c>
      <c r="I95">
        <v>0</v>
      </c>
      <c r="J95">
        <v>0</v>
      </c>
      <c r="K95">
        <v>0</v>
      </c>
      <c r="L95">
        <v>0</v>
      </c>
      <c r="M95">
        <v>0</v>
      </c>
      <c r="N95" s="86" t="s">
        <v>1077</v>
      </c>
      <c r="O95" s="73" t="s">
        <v>414</v>
      </c>
      <c r="P95" s="71"/>
      <c r="Q95" s="71">
        <v>22826</v>
      </c>
      <c r="R95" s="71">
        <v>389000</v>
      </c>
      <c r="S95" s="71">
        <v>411826</v>
      </c>
    </row>
    <row r="96" spans="1:19" x14ac:dyDescent="0.3">
      <c r="A96" s="86" t="s">
        <v>1078</v>
      </c>
      <c r="B96" s="86" t="s">
        <v>47</v>
      </c>
      <c r="C96" s="86" t="s">
        <v>405</v>
      </c>
      <c r="D96" s="86" t="s">
        <v>407</v>
      </c>
      <c r="E96" s="86" t="s">
        <v>406</v>
      </c>
      <c r="F96" s="86" t="s">
        <v>47</v>
      </c>
      <c r="G96" s="86" t="s">
        <v>48</v>
      </c>
      <c r="H96" s="86" t="s">
        <v>141</v>
      </c>
      <c r="I96">
        <v>0</v>
      </c>
      <c r="J96">
        <v>0</v>
      </c>
      <c r="K96">
        <v>0</v>
      </c>
      <c r="L96">
        <v>0</v>
      </c>
      <c r="M96">
        <v>0</v>
      </c>
      <c r="N96" s="86" t="s">
        <v>1077</v>
      </c>
      <c r="O96" s="73" t="s">
        <v>417</v>
      </c>
      <c r="P96" s="71"/>
      <c r="Q96" s="71"/>
      <c r="R96" s="71">
        <v>0</v>
      </c>
      <c r="S96" s="71">
        <v>0</v>
      </c>
    </row>
    <row r="97" spans="1:19" x14ac:dyDescent="0.3">
      <c r="A97" s="86" t="s">
        <v>1078</v>
      </c>
      <c r="B97" s="86" t="s">
        <v>47</v>
      </c>
      <c r="C97" s="86" t="s">
        <v>408</v>
      </c>
      <c r="D97" s="86" t="s">
        <v>410</v>
      </c>
      <c r="E97" s="86" t="s">
        <v>409</v>
      </c>
      <c r="F97" s="86" t="s">
        <v>47</v>
      </c>
      <c r="G97" s="86" t="s">
        <v>48</v>
      </c>
      <c r="H97" s="86" t="s">
        <v>141</v>
      </c>
      <c r="I97">
        <v>0</v>
      </c>
      <c r="J97">
        <v>0</v>
      </c>
      <c r="K97">
        <v>0</v>
      </c>
      <c r="L97">
        <v>0</v>
      </c>
      <c r="M97">
        <v>0</v>
      </c>
      <c r="N97" s="86" t="s">
        <v>1077</v>
      </c>
      <c r="O97" s="73" t="s">
        <v>420</v>
      </c>
      <c r="P97" s="71"/>
      <c r="Q97" s="71">
        <v>47334</v>
      </c>
      <c r="R97" s="71">
        <v>0</v>
      </c>
      <c r="S97" s="71">
        <v>47334</v>
      </c>
    </row>
    <row r="98" spans="1:19" x14ac:dyDescent="0.3">
      <c r="A98" s="86" t="s">
        <v>1078</v>
      </c>
      <c r="B98" s="86" t="s">
        <v>47</v>
      </c>
      <c r="C98" s="86" t="s">
        <v>411</v>
      </c>
      <c r="D98" s="86" t="s">
        <v>413</v>
      </c>
      <c r="E98" s="86" t="s">
        <v>412</v>
      </c>
      <c r="F98" s="86" t="s">
        <v>47</v>
      </c>
      <c r="G98" s="86" t="s">
        <v>48</v>
      </c>
      <c r="H98" s="86" t="s">
        <v>141</v>
      </c>
      <c r="I98">
        <v>0</v>
      </c>
      <c r="J98">
        <v>0</v>
      </c>
      <c r="K98">
        <v>0</v>
      </c>
      <c r="L98">
        <v>0</v>
      </c>
      <c r="M98">
        <v>0</v>
      </c>
      <c r="N98" s="86" t="s">
        <v>1077</v>
      </c>
      <c r="O98" s="73" t="s">
        <v>428</v>
      </c>
      <c r="P98" s="71"/>
      <c r="Q98" s="71">
        <v>105786</v>
      </c>
      <c r="R98" s="71">
        <v>432000</v>
      </c>
      <c r="S98" s="71">
        <v>537786</v>
      </c>
    </row>
    <row r="99" spans="1:19" x14ac:dyDescent="0.3">
      <c r="A99" s="86" t="s">
        <v>1078</v>
      </c>
      <c r="B99" s="86" t="s">
        <v>47</v>
      </c>
      <c r="C99" s="86" t="s">
        <v>414</v>
      </c>
      <c r="D99" s="86" t="s">
        <v>416</v>
      </c>
      <c r="E99" s="86" t="s">
        <v>415</v>
      </c>
      <c r="F99" s="86" t="s">
        <v>47</v>
      </c>
      <c r="G99" s="86" t="s">
        <v>48</v>
      </c>
      <c r="H99" s="86" t="s">
        <v>141</v>
      </c>
      <c r="I99">
        <v>389000</v>
      </c>
      <c r="J99">
        <v>0</v>
      </c>
      <c r="K99">
        <v>0</v>
      </c>
      <c r="L99">
        <v>389000</v>
      </c>
      <c r="M99">
        <v>0</v>
      </c>
      <c r="N99" s="86" t="s">
        <v>1077</v>
      </c>
      <c r="O99" s="73" t="s">
        <v>431</v>
      </c>
      <c r="P99" s="71"/>
      <c r="Q99" s="71">
        <v>91696</v>
      </c>
      <c r="R99" s="71">
        <v>192000</v>
      </c>
      <c r="S99" s="71">
        <v>283696</v>
      </c>
    </row>
    <row r="100" spans="1:19" x14ac:dyDescent="0.3">
      <c r="A100" s="86" t="s">
        <v>1078</v>
      </c>
      <c r="B100" s="86" t="s">
        <v>47</v>
      </c>
      <c r="C100" s="86" t="s">
        <v>417</v>
      </c>
      <c r="D100" s="86" t="s">
        <v>419</v>
      </c>
      <c r="E100" s="86" t="s">
        <v>418</v>
      </c>
      <c r="F100" s="86" t="s">
        <v>47</v>
      </c>
      <c r="G100" s="86" t="s">
        <v>48</v>
      </c>
      <c r="H100" s="86" t="s">
        <v>141</v>
      </c>
      <c r="I100">
        <v>0</v>
      </c>
      <c r="J100">
        <v>0</v>
      </c>
      <c r="K100">
        <v>0</v>
      </c>
      <c r="L100">
        <v>0</v>
      </c>
      <c r="M100">
        <v>0</v>
      </c>
      <c r="N100" s="86" t="s">
        <v>1077</v>
      </c>
      <c r="O100" s="73" t="s">
        <v>434</v>
      </c>
      <c r="P100" s="71"/>
      <c r="Q100" s="71">
        <v>102200</v>
      </c>
      <c r="R100" s="71">
        <v>453000</v>
      </c>
      <c r="S100" s="71">
        <v>555200</v>
      </c>
    </row>
    <row r="101" spans="1:19" x14ac:dyDescent="0.3">
      <c r="A101" s="86" t="s">
        <v>1078</v>
      </c>
      <c r="B101" s="86" t="s">
        <v>47</v>
      </c>
      <c r="C101" s="86" t="s">
        <v>420</v>
      </c>
      <c r="D101" s="86" t="s">
        <v>422</v>
      </c>
      <c r="E101" s="86" t="s">
        <v>421</v>
      </c>
      <c r="F101" s="86" t="s">
        <v>47</v>
      </c>
      <c r="G101" s="86" t="s">
        <v>48</v>
      </c>
      <c r="H101" s="86" t="s">
        <v>141</v>
      </c>
      <c r="I101">
        <v>0</v>
      </c>
      <c r="J101">
        <v>0</v>
      </c>
      <c r="K101">
        <v>0</v>
      </c>
      <c r="L101">
        <v>0</v>
      </c>
      <c r="M101">
        <v>0</v>
      </c>
      <c r="N101" s="86" t="s">
        <v>1077</v>
      </c>
      <c r="O101" s="73" t="s">
        <v>443</v>
      </c>
      <c r="P101" s="71"/>
      <c r="Q101" s="71">
        <v>37652</v>
      </c>
      <c r="R101" s="71">
        <v>48000</v>
      </c>
      <c r="S101" s="71">
        <v>85652</v>
      </c>
    </row>
    <row r="102" spans="1:19" x14ac:dyDescent="0.3">
      <c r="A102" s="86" t="s">
        <v>1078</v>
      </c>
      <c r="B102" s="86" t="s">
        <v>47</v>
      </c>
      <c r="C102" s="86" t="s">
        <v>428</v>
      </c>
      <c r="D102" s="86" t="s">
        <v>430</v>
      </c>
      <c r="E102" s="86" t="s">
        <v>429</v>
      </c>
      <c r="F102" s="86" t="s">
        <v>47</v>
      </c>
      <c r="G102" s="86" t="s">
        <v>48</v>
      </c>
      <c r="H102" s="86" t="s">
        <v>141</v>
      </c>
      <c r="I102">
        <v>530000</v>
      </c>
      <c r="J102">
        <v>0</v>
      </c>
      <c r="K102">
        <v>98000</v>
      </c>
      <c r="L102">
        <v>432000</v>
      </c>
      <c r="M102">
        <v>0</v>
      </c>
      <c r="N102" s="86" t="s">
        <v>1077</v>
      </c>
      <c r="O102" s="73" t="s">
        <v>452</v>
      </c>
      <c r="P102" s="71"/>
      <c r="Q102" s="71">
        <v>31537</v>
      </c>
      <c r="R102" s="71">
        <v>96000</v>
      </c>
      <c r="S102" s="71">
        <v>127537</v>
      </c>
    </row>
    <row r="103" spans="1:19" x14ac:dyDescent="0.3">
      <c r="A103" s="86" t="s">
        <v>1078</v>
      </c>
      <c r="B103" s="86" t="s">
        <v>47</v>
      </c>
      <c r="C103" s="86" t="s">
        <v>431</v>
      </c>
      <c r="D103" s="86" t="s">
        <v>433</v>
      </c>
      <c r="E103" s="86" t="s">
        <v>432</v>
      </c>
      <c r="F103" s="86" t="s">
        <v>47</v>
      </c>
      <c r="G103" s="86" t="s">
        <v>48</v>
      </c>
      <c r="H103" s="86" t="s">
        <v>141</v>
      </c>
      <c r="I103">
        <v>288000</v>
      </c>
      <c r="J103">
        <v>0</v>
      </c>
      <c r="K103">
        <v>96000</v>
      </c>
      <c r="L103">
        <v>192000</v>
      </c>
      <c r="M103">
        <v>0</v>
      </c>
      <c r="N103" s="86" t="s">
        <v>1077</v>
      </c>
      <c r="O103" s="73" t="s">
        <v>455</v>
      </c>
      <c r="P103" s="71"/>
      <c r="Q103" s="71"/>
      <c r="R103" s="71">
        <v>0</v>
      </c>
      <c r="S103" s="71">
        <v>0</v>
      </c>
    </row>
    <row r="104" spans="1:19" x14ac:dyDescent="0.3">
      <c r="A104" s="86" t="s">
        <v>1078</v>
      </c>
      <c r="B104" s="86" t="s">
        <v>47</v>
      </c>
      <c r="C104" s="86" t="s">
        <v>434</v>
      </c>
      <c r="D104" s="86" t="s">
        <v>436</v>
      </c>
      <c r="E104" s="86" t="s">
        <v>435</v>
      </c>
      <c r="F104" s="86" t="s">
        <v>47</v>
      </c>
      <c r="G104" s="86" t="s">
        <v>48</v>
      </c>
      <c r="H104" s="86" t="s">
        <v>141</v>
      </c>
      <c r="I104">
        <v>558000</v>
      </c>
      <c r="J104">
        <v>0</v>
      </c>
      <c r="K104">
        <v>105000</v>
      </c>
      <c r="L104">
        <v>453000</v>
      </c>
      <c r="M104">
        <v>0</v>
      </c>
      <c r="N104" s="86" t="s">
        <v>1077</v>
      </c>
      <c r="O104" s="73" t="s">
        <v>462</v>
      </c>
      <c r="P104" s="71"/>
      <c r="Q104" s="71">
        <v>117209</v>
      </c>
      <c r="R104" s="71">
        <v>94000</v>
      </c>
      <c r="S104" s="71">
        <v>211209</v>
      </c>
    </row>
    <row r="105" spans="1:19" x14ac:dyDescent="0.3">
      <c r="A105" s="86" t="s">
        <v>1078</v>
      </c>
      <c r="B105" s="86" t="s">
        <v>47</v>
      </c>
      <c r="C105" s="86" t="s">
        <v>443</v>
      </c>
      <c r="D105" s="86" t="s">
        <v>445</v>
      </c>
      <c r="E105" s="86" t="s">
        <v>444</v>
      </c>
      <c r="F105" s="86" t="s">
        <v>47</v>
      </c>
      <c r="G105" s="86" t="s">
        <v>48</v>
      </c>
      <c r="H105" s="86" t="s">
        <v>141</v>
      </c>
      <c r="I105">
        <v>48000</v>
      </c>
      <c r="J105">
        <v>0</v>
      </c>
      <c r="K105">
        <v>0</v>
      </c>
      <c r="L105">
        <v>48000</v>
      </c>
      <c r="M105">
        <v>0</v>
      </c>
      <c r="N105" s="86" t="s">
        <v>1077</v>
      </c>
      <c r="O105" s="73" t="s">
        <v>465</v>
      </c>
      <c r="P105" s="71"/>
      <c r="Q105" s="71">
        <v>64901</v>
      </c>
      <c r="R105" s="71">
        <v>218000</v>
      </c>
      <c r="S105" s="71">
        <v>282901</v>
      </c>
    </row>
    <row r="106" spans="1:19" x14ac:dyDescent="0.3">
      <c r="A106" s="86" t="s">
        <v>1078</v>
      </c>
      <c r="B106" s="86" t="s">
        <v>47</v>
      </c>
      <c r="C106" s="86" t="s">
        <v>452</v>
      </c>
      <c r="D106" s="86" t="s">
        <v>454</v>
      </c>
      <c r="E106" s="86" t="s">
        <v>453</v>
      </c>
      <c r="F106" s="86" t="s">
        <v>47</v>
      </c>
      <c r="G106" s="86" t="s">
        <v>48</v>
      </c>
      <c r="H106" s="86" t="s">
        <v>141</v>
      </c>
      <c r="I106">
        <v>96000</v>
      </c>
      <c r="J106">
        <v>0</v>
      </c>
      <c r="K106">
        <v>0</v>
      </c>
      <c r="L106">
        <v>96000</v>
      </c>
      <c r="M106">
        <v>0</v>
      </c>
      <c r="N106" s="86" t="s">
        <v>1077</v>
      </c>
      <c r="O106" s="73" t="s">
        <v>468</v>
      </c>
      <c r="P106" s="71"/>
      <c r="Q106" s="71"/>
      <c r="R106" s="71">
        <v>0</v>
      </c>
      <c r="S106" s="71">
        <v>0</v>
      </c>
    </row>
    <row r="107" spans="1:19" x14ac:dyDescent="0.3">
      <c r="A107" s="86" t="s">
        <v>1078</v>
      </c>
      <c r="B107" s="86" t="s">
        <v>47</v>
      </c>
      <c r="C107" s="86" t="s">
        <v>455</v>
      </c>
      <c r="D107" s="86" t="s">
        <v>457</v>
      </c>
      <c r="E107" s="86" t="s">
        <v>456</v>
      </c>
      <c r="F107" s="86" t="s">
        <v>47</v>
      </c>
      <c r="G107" s="86" t="s">
        <v>48</v>
      </c>
      <c r="H107" s="86" t="s">
        <v>141</v>
      </c>
      <c r="I107">
        <v>0</v>
      </c>
      <c r="J107">
        <v>0</v>
      </c>
      <c r="K107">
        <v>0</v>
      </c>
      <c r="L107">
        <v>0</v>
      </c>
      <c r="M107">
        <v>0</v>
      </c>
      <c r="N107" s="86" t="s">
        <v>1077</v>
      </c>
      <c r="O107" s="73" t="s">
        <v>474</v>
      </c>
      <c r="P107" s="71"/>
      <c r="Q107" s="71"/>
      <c r="R107" s="71">
        <v>2473000</v>
      </c>
      <c r="S107" s="71">
        <v>2473000</v>
      </c>
    </row>
    <row r="108" spans="1:19" x14ac:dyDescent="0.3">
      <c r="A108" s="86" t="s">
        <v>1078</v>
      </c>
      <c r="B108" s="86" t="s">
        <v>47</v>
      </c>
      <c r="C108" s="86" t="s">
        <v>462</v>
      </c>
      <c r="D108" s="86" t="s">
        <v>464</v>
      </c>
      <c r="E108" s="86" t="s">
        <v>463</v>
      </c>
      <c r="F108" s="86" t="s">
        <v>47</v>
      </c>
      <c r="G108" s="86" t="s">
        <v>48</v>
      </c>
      <c r="H108" s="86" t="s">
        <v>141</v>
      </c>
      <c r="I108">
        <v>197000</v>
      </c>
      <c r="J108">
        <v>0</v>
      </c>
      <c r="K108">
        <v>103000</v>
      </c>
      <c r="L108">
        <v>94000</v>
      </c>
      <c r="M108">
        <v>0</v>
      </c>
      <c r="N108" s="86" t="s">
        <v>1077</v>
      </c>
      <c r="O108" s="73" t="s">
        <v>477</v>
      </c>
      <c r="P108" s="71"/>
      <c r="Q108" s="71">
        <v>29309</v>
      </c>
      <c r="R108" s="71">
        <v>44000</v>
      </c>
      <c r="S108" s="71">
        <v>73309</v>
      </c>
    </row>
    <row r="109" spans="1:19" x14ac:dyDescent="0.3">
      <c r="A109" s="86" t="s">
        <v>1078</v>
      </c>
      <c r="B109" s="86" t="s">
        <v>47</v>
      </c>
      <c r="C109" s="86" t="s">
        <v>465</v>
      </c>
      <c r="D109" s="86" t="s">
        <v>467</v>
      </c>
      <c r="E109" s="86" t="s">
        <v>466</v>
      </c>
      <c r="F109" s="86" t="s">
        <v>47</v>
      </c>
      <c r="G109" s="86" t="s">
        <v>48</v>
      </c>
      <c r="H109" s="86" t="s">
        <v>141</v>
      </c>
      <c r="I109">
        <v>218000</v>
      </c>
      <c r="J109">
        <v>0</v>
      </c>
      <c r="K109">
        <v>0</v>
      </c>
      <c r="L109">
        <v>218000</v>
      </c>
      <c r="M109">
        <v>0</v>
      </c>
      <c r="N109" s="86" t="s">
        <v>1077</v>
      </c>
      <c r="O109" s="73" t="s">
        <v>480</v>
      </c>
      <c r="P109" s="71"/>
      <c r="Q109" s="71">
        <v>37869</v>
      </c>
      <c r="R109" s="71">
        <v>50000</v>
      </c>
      <c r="S109" s="71">
        <v>87869</v>
      </c>
    </row>
    <row r="110" spans="1:19" x14ac:dyDescent="0.3">
      <c r="A110" s="86" t="s">
        <v>1078</v>
      </c>
      <c r="B110" s="86" t="s">
        <v>47</v>
      </c>
      <c r="C110" s="86" t="s">
        <v>468</v>
      </c>
      <c r="D110" s="86" t="s">
        <v>470</v>
      </c>
      <c r="E110" s="86" t="s">
        <v>469</v>
      </c>
      <c r="F110" s="86" t="s">
        <v>47</v>
      </c>
      <c r="G110" s="86" t="s">
        <v>48</v>
      </c>
      <c r="H110" s="86" t="s">
        <v>141</v>
      </c>
      <c r="I110">
        <v>0</v>
      </c>
      <c r="J110">
        <v>0</v>
      </c>
      <c r="K110">
        <v>0</v>
      </c>
      <c r="L110">
        <v>0</v>
      </c>
      <c r="M110">
        <v>0</v>
      </c>
      <c r="N110" s="86" t="s">
        <v>1077</v>
      </c>
      <c r="O110" s="73" t="s">
        <v>488</v>
      </c>
      <c r="P110" s="71"/>
      <c r="Q110" s="71">
        <v>117249</v>
      </c>
      <c r="R110" s="71">
        <v>0</v>
      </c>
      <c r="S110" s="71">
        <v>117249</v>
      </c>
    </row>
    <row r="111" spans="1:19" x14ac:dyDescent="0.3">
      <c r="A111" s="86" t="s">
        <v>1078</v>
      </c>
      <c r="B111" s="86" t="s">
        <v>47</v>
      </c>
      <c r="C111" s="86" t="s">
        <v>474</v>
      </c>
      <c r="D111" s="86" t="s">
        <v>476</v>
      </c>
      <c r="E111" s="86" t="s">
        <v>475</v>
      </c>
      <c r="F111" s="86" t="s">
        <v>47</v>
      </c>
      <c r="G111" s="86" t="s">
        <v>48</v>
      </c>
      <c r="H111" s="86" t="s">
        <v>141</v>
      </c>
      <c r="I111">
        <v>1183000</v>
      </c>
      <c r="J111">
        <v>2063000</v>
      </c>
      <c r="K111">
        <v>773000</v>
      </c>
      <c r="L111">
        <v>2473000</v>
      </c>
      <c r="M111">
        <v>0</v>
      </c>
      <c r="N111" s="86" t="s">
        <v>1077</v>
      </c>
      <c r="O111" s="73" t="s">
        <v>491</v>
      </c>
      <c r="P111" s="71"/>
      <c r="Q111" s="71">
        <v>105147</v>
      </c>
      <c r="R111" s="71">
        <v>335000</v>
      </c>
      <c r="S111" s="71">
        <v>440147</v>
      </c>
    </row>
    <row r="112" spans="1:19" x14ac:dyDescent="0.3">
      <c r="A112" s="86" t="s">
        <v>1078</v>
      </c>
      <c r="B112" s="86" t="s">
        <v>47</v>
      </c>
      <c r="C112" s="86" t="s">
        <v>477</v>
      </c>
      <c r="D112" s="86" t="s">
        <v>479</v>
      </c>
      <c r="E112" s="86" t="s">
        <v>478</v>
      </c>
      <c r="F112" s="86" t="s">
        <v>47</v>
      </c>
      <c r="G112" s="86" t="s">
        <v>48</v>
      </c>
      <c r="H112" s="86" t="s">
        <v>141</v>
      </c>
      <c r="I112">
        <v>44000</v>
      </c>
      <c r="J112">
        <v>0</v>
      </c>
      <c r="K112">
        <v>0</v>
      </c>
      <c r="L112">
        <v>44000</v>
      </c>
      <c r="M112">
        <v>0</v>
      </c>
      <c r="N112" s="86" t="s">
        <v>1077</v>
      </c>
      <c r="O112" s="73" t="s">
        <v>494</v>
      </c>
      <c r="P112" s="71"/>
      <c r="Q112" s="71"/>
      <c r="R112" s="71">
        <v>0</v>
      </c>
      <c r="S112" s="71">
        <v>0</v>
      </c>
    </row>
    <row r="113" spans="1:19" x14ac:dyDescent="0.3">
      <c r="A113" s="86" t="s">
        <v>1078</v>
      </c>
      <c r="B113" s="86" t="s">
        <v>47</v>
      </c>
      <c r="C113" s="86" t="s">
        <v>480</v>
      </c>
      <c r="D113" s="86" t="s">
        <v>482</v>
      </c>
      <c r="E113" s="86" t="s">
        <v>481</v>
      </c>
      <c r="F113" s="86" t="s">
        <v>47</v>
      </c>
      <c r="G113" s="86" t="s">
        <v>48</v>
      </c>
      <c r="H113" s="86" t="s">
        <v>141</v>
      </c>
      <c r="I113">
        <v>50000</v>
      </c>
      <c r="J113">
        <v>0</v>
      </c>
      <c r="K113">
        <v>0</v>
      </c>
      <c r="L113">
        <v>50000</v>
      </c>
      <c r="M113">
        <v>0</v>
      </c>
      <c r="N113" s="86" t="s">
        <v>1077</v>
      </c>
      <c r="O113" s="73" t="s">
        <v>503</v>
      </c>
      <c r="P113" s="71"/>
      <c r="Q113" s="71">
        <v>81063</v>
      </c>
      <c r="R113" s="71">
        <v>576000</v>
      </c>
      <c r="S113" s="71">
        <v>657063</v>
      </c>
    </row>
    <row r="114" spans="1:19" x14ac:dyDescent="0.3">
      <c r="A114" s="86" t="s">
        <v>1078</v>
      </c>
      <c r="B114" s="86" t="s">
        <v>47</v>
      </c>
      <c r="C114" s="86" t="s">
        <v>488</v>
      </c>
      <c r="D114" s="86" t="s">
        <v>490</v>
      </c>
      <c r="E114" s="86" t="s">
        <v>489</v>
      </c>
      <c r="F114" s="86" t="s">
        <v>47</v>
      </c>
      <c r="G114" s="86" t="s">
        <v>48</v>
      </c>
      <c r="H114" s="86" t="s">
        <v>141</v>
      </c>
      <c r="I114">
        <v>242000</v>
      </c>
      <c r="J114">
        <v>0</v>
      </c>
      <c r="K114">
        <v>242000</v>
      </c>
      <c r="L114">
        <v>0</v>
      </c>
      <c r="M114">
        <v>0</v>
      </c>
      <c r="N114" s="86" t="s">
        <v>1077</v>
      </c>
      <c r="O114" s="73" t="s">
        <v>506</v>
      </c>
      <c r="P114" s="71"/>
      <c r="Q114" s="71"/>
      <c r="R114" s="71">
        <v>0</v>
      </c>
      <c r="S114" s="71">
        <v>0</v>
      </c>
    </row>
    <row r="115" spans="1:19" x14ac:dyDescent="0.3">
      <c r="A115" s="86" t="s">
        <v>1078</v>
      </c>
      <c r="B115" s="86" t="s">
        <v>47</v>
      </c>
      <c r="C115" s="86" t="s">
        <v>491</v>
      </c>
      <c r="D115" s="86" t="s">
        <v>493</v>
      </c>
      <c r="E115" s="86" t="s">
        <v>492</v>
      </c>
      <c r="F115" s="86" t="s">
        <v>47</v>
      </c>
      <c r="G115" s="86" t="s">
        <v>48</v>
      </c>
      <c r="H115" s="86" t="s">
        <v>141</v>
      </c>
      <c r="I115">
        <v>335000</v>
      </c>
      <c r="J115">
        <v>0</v>
      </c>
      <c r="K115">
        <v>0</v>
      </c>
      <c r="L115">
        <v>335000</v>
      </c>
      <c r="M115">
        <v>0</v>
      </c>
      <c r="N115" s="86" t="s">
        <v>1077</v>
      </c>
      <c r="O115" s="73" t="s">
        <v>509</v>
      </c>
      <c r="P115" s="71"/>
      <c r="Q115" s="71"/>
      <c r="R115" s="71">
        <v>0</v>
      </c>
      <c r="S115" s="71">
        <v>0</v>
      </c>
    </row>
    <row r="116" spans="1:19" x14ac:dyDescent="0.3">
      <c r="A116" s="86" t="s">
        <v>1078</v>
      </c>
      <c r="B116" s="86" t="s">
        <v>47</v>
      </c>
      <c r="C116" s="86" t="s">
        <v>494</v>
      </c>
      <c r="D116" s="86" t="s">
        <v>496</v>
      </c>
      <c r="E116" s="86" t="s">
        <v>495</v>
      </c>
      <c r="F116" s="86" t="s">
        <v>47</v>
      </c>
      <c r="G116" s="86" t="s">
        <v>48</v>
      </c>
      <c r="H116" s="86" t="s">
        <v>141</v>
      </c>
      <c r="I116">
        <v>0</v>
      </c>
      <c r="J116">
        <v>0</v>
      </c>
      <c r="K116">
        <v>0</v>
      </c>
      <c r="L116">
        <v>0</v>
      </c>
      <c r="M116">
        <v>0</v>
      </c>
      <c r="N116" s="86" t="s">
        <v>1077</v>
      </c>
      <c r="O116" s="73" t="s">
        <v>512</v>
      </c>
      <c r="P116" s="71"/>
      <c r="Q116" s="71">
        <v>18509</v>
      </c>
      <c r="R116" s="71">
        <v>97000</v>
      </c>
      <c r="S116" s="71">
        <v>115509</v>
      </c>
    </row>
    <row r="117" spans="1:19" x14ac:dyDescent="0.3">
      <c r="A117" s="86" t="s">
        <v>1078</v>
      </c>
      <c r="B117" s="86" t="s">
        <v>47</v>
      </c>
      <c r="C117" s="86" t="s">
        <v>503</v>
      </c>
      <c r="D117" s="86" t="s">
        <v>505</v>
      </c>
      <c r="E117" s="86" t="s">
        <v>504</v>
      </c>
      <c r="F117" s="86" t="s">
        <v>47</v>
      </c>
      <c r="G117" s="86" t="s">
        <v>48</v>
      </c>
      <c r="H117" s="86" t="s">
        <v>141</v>
      </c>
      <c r="I117">
        <v>576000</v>
      </c>
      <c r="J117">
        <v>0</v>
      </c>
      <c r="K117">
        <v>0</v>
      </c>
      <c r="L117">
        <v>576000</v>
      </c>
      <c r="M117">
        <v>0</v>
      </c>
      <c r="N117" s="86" t="s">
        <v>1077</v>
      </c>
      <c r="O117" s="73" t="s">
        <v>515</v>
      </c>
      <c r="P117" s="71"/>
      <c r="Q117" s="71"/>
      <c r="R117" s="71">
        <v>0</v>
      </c>
      <c r="S117" s="71">
        <v>0</v>
      </c>
    </row>
    <row r="118" spans="1:19" x14ac:dyDescent="0.3">
      <c r="A118" s="86" t="s">
        <v>1078</v>
      </c>
      <c r="B118" s="86" t="s">
        <v>47</v>
      </c>
      <c r="C118" s="86" t="s">
        <v>506</v>
      </c>
      <c r="D118" s="86" t="s">
        <v>508</v>
      </c>
      <c r="E118" s="86" t="s">
        <v>507</v>
      </c>
      <c r="F118" s="86" t="s">
        <v>47</v>
      </c>
      <c r="G118" s="86" t="s">
        <v>48</v>
      </c>
      <c r="H118" s="86" t="s">
        <v>141</v>
      </c>
      <c r="I118">
        <v>0</v>
      </c>
      <c r="J118">
        <v>0</v>
      </c>
      <c r="K118">
        <v>0</v>
      </c>
      <c r="L118">
        <v>0</v>
      </c>
      <c r="M118">
        <v>0</v>
      </c>
      <c r="N118" s="86" t="s">
        <v>1077</v>
      </c>
      <c r="O118" s="73" t="s">
        <v>518</v>
      </c>
      <c r="P118" s="71"/>
      <c r="Q118" s="71"/>
      <c r="R118" s="71">
        <v>0</v>
      </c>
      <c r="S118" s="71">
        <v>0</v>
      </c>
    </row>
    <row r="119" spans="1:19" x14ac:dyDescent="0.3">
      <c r="A119" s="86" t="s">
        <v>1078</v>
      </c>
      <c r="B119" s="86" t="s">
        <v>47</v>
      </c>
      <c r="C119" s="86" t="s">
        <v>509</v>
      </c>
      <c r="D119" s="86" t="s">
        <v>511</v>
      </c>
      <c r="E119" s="86" t="s">
        <v>510</v>
      </c>
      <c r="F119" s="86" t="s">
        <v>47</v>
      </c>
      <c r="G119" s="86" t="s">
        <v>48</v>
      </c>
      <c r="H119" s="86" t="s">
        <v>141</v>
      </c>
      <c r="I119">
        <v>0</v>
      </c>
      <c r="J119">
        <v>0</v>
      </c>
      <c r="K119">
        <v>0</v>
      </c>
      <c r="L119">
        <v>0</v>
      </c>
      <c r="M119">
        <v>0</v>
      </c>
      <c r="N119" s="86" t="s">
        <v>1077</v>
      </c>
      <c r="O119" s="73" t="s">
        <v>523</v>
      </c>
      <c r="P119" s="71"/>
      <c r="Q119" s="71">
        <v>57921</v>
      </c>
      <c r="R119" s="71">
        <v>95000</v>
      </c>
      <c r="S119" s="71">
        <v>152921</v>
      </c>
    </row>
    <row r="120" spans="1:19" x14ac:dyDescent="0.3">
      <c r="A120" s="86" t="s">
        <v>1078</v>
      </c>
      <c r="B120" s="86" t="s">
        <v>47</v>
      </c>
      <c r="C120" s="86" t="s">
        <v>512</v>
      </c>
      <c r="D120" s="86" t="s">
        <v>514</v>
      </c>
      <c r="E120" s="86" t="s">
        <v>513</v>
      </c>
      <c r="F120" s="86" t="s">
        <v>47</v>
      </c>
      <c r="G120" s="86" t="s">
        <v>48</v>
      </c>
      <c r="H120" s="86" t="s">
        <v>141</v>
      </c>
      <c r="I120">
        <v>97000</v>
      </c>
      <c r="J120">
        <v>0</v>
      </c>
      <c r="K120">
        <v>0</v>
      </c>
      <c r="L120">
        <v>97000</v>
      </c>
      <c r="M120">
        <v>0</v>
      </c>
      <c r="N120" s="86" t="s">
        <v>1077</v>
      </c>
      <c r="O120" s="73" t="s">
        <v>532</v>
      </c>
      <c r="P120" s="71"/>
      <c r="Q120" s="71"/>
      <c r="R120" s="71">
        <v>2875000</v>
      </c>
      <c r="S120" s="71">
        <v>2875000</v>
      </c>
    </row>
    <row r="121" spans="1:19" x14ac:dyDescent="0.3">
      <c r="A121" s="86" t="s">
        <v>1078</v>
      </c>
      <c r="B121" s="86" t="s">
        <v>47</v>
      </c>
      <c r="C121" s="86" t="s">
        <v>515</v>
      </c>
      <c r="D121" s="86" t="s">
        <v>517</v>
      </c>
      <c r="E121" s="86" t="s">
        <v>516</v>
      </c>
      <c r="F121" s="86" t="s">
        <v>47</v>
      </c>
      <c r="G121" s="86" t="s">
        <v>48</v>
      </c>
      <c r="H121" s="86" t="s">
        <v>141</v>
      </c>
      <c r="I121">
        <v>0</v>
      </c>
      <c r="J121">
        <v>0</v>
      </c>
      <c r="K121">
        <v>0</v>
      </c>
      <c r="L121">
        <v>0</v>
      </c>
      <c r="M121">
        <v>0</v>
      </c>
      <c r="N121" s="86" t="s">
        <v>1077</v>
      </c>
      <c r="O121" s="73" t="s">
        <v>535</v>
      </c>
      <c r="P121" s="71"/>
      <c r="Q121" s="71">
        <v>77553</v>
      </c>
      <c r="R121" s="71">
        <v>96000</v>
      </c>
      <c r="S121" s="71">
        <v>173553</v>
      </c>
    </row>
    <row r="122" spans="1:19" x14ac:dyDescent="0.3">
      <c r="A122" s="86" t="s">
        <v>1078</v>
      </c>
      <c r="B122" s="86" t="s">
        <v>47</v>
      </c>
      <c r="C122" s="86" t="s">
        <v>518</v>
      </c>
      <c r="D122" s="86" t="s">
        <v>520</v>
      </c>
      <c r="E122" s="86" t="s">
        <v>519</v>
      </c>
      <c r="F122" s="86" t="s">
        <v>47</v>
      </c>
      <c r="G122" s="86" t="s">
        <v>48</v>
      </c>
      <c r="H122" s="86" t="s">
        <v>141</v>
      </c>
      <c r="I122">
        <v>0</v>
      </c>
      <c r="J122">
        <v>0</v>
      </c>
      <c r="K122">
        <v>0</v>
      </c>
      <c r="L122">
        <v>0</v>
      </c>
      <c r="M122">
        <v>0</v>
      </c>
      <c r="N122" s="86" t="s">
        <v>1077</v>
      </c>
      <c r="O122" s="73" t="s">
        <v>541</v>
      </c>
      <c r="P122" s="71"/>
      <c r="Q122" s="71"/>
      <c r="R122" s="71">
        <v>50000</v>
      </c>
      <c r="S122" s="71">
        <v>50000</v>
      </c>
    </row>
    <row r="123" spans="1:19" x14ac:dyDescent="0.3">
      <c r="A123" s="86" t="s">
        <v>1078</v>
      </c>
      <c r="B123" s="86" t="s">
        <v>47</v>
      </c>
      <c r="C123" s="86" t="s">
        <v>523</v>
      </c>
      <c r="D123" s="86" t="s">
        <v>525</v>
      </c>
      <c r="E123" s="86" t="s">
        <v>524</v>
      </c>
      <c r="F123" s="86" t="s">
        <v>47</v>
      </c>
      <c r="G123" s="86" t="s">
        <v>48</v>
      </c>
      <c r="H123" s="86" t="s">
        <v>141</v>
      </c>
      <c r="I123">
        <v>95000</v>
      </c>
      <c r="J123">
        <v>0</v>
      </c>
      <c r="K123">
        <v>0</v>
      </c>
      <c r="L123">
        <v>95000</v>
      </c>
      <c r="M123">
        <v>0</v>
      </c>
      <c r="N123" s="86" t="s">
        <v>1077</v>
      </c>
      <c r="O123" s="73" t="s">
        <v>544</v>
      </c>
      <c r="P123" s="71"/>
      <c r="Q123" s="71">
        <v>50358</v>
      </c>
      <c r="R123" s="71">
        <v>204000</v>
      </c>
      <c r="S123" s="71">
        <v>254358</v>
      </c>
    </row>
    <row r="124" spans="1:19" x14ac:dyDescent="0.3">
      <c r="A124" s="86" t="s">
        <v>1078</v>
      </c>
      <c r="B124" s="86" t="s">
        <v>47</v>
      </c>
      <c r="C124" s="86" t="s">
        <v>532</v>
      </c>
      <c r="D124" s="86" t="s">
        <v>534</v>
      </c>
      <c r="E124" s="86" t="s">
        <v>533</v>
      </c>
      <c r="F124" s="86" t="s">
        <v>47</v>
      </c>
      <c r="G124" s="86" t="s">
        <v>48</v>
      </c>
      <c r="H124" s="86" t="s">
        <v>141</v>
      </c>
      <c r="I124">
        <v>2875000</v>
      </c>
      <c r="J124">
        <v>0</v>
      </c>
      <c r="K124">
        <v>0</v>
      </c>
      <c r="L124">
        <v>2875000</v>
      </c>
      <c r="M124">
        <v>0</v>
      </c>
      <c r="N124" s="86" t="s">
        <v>1077</v>
      </c>
      <c r="O124" s="73" t="s">
        <v>550</v>
      </c>
      <c r="P124" s="71"/>
      <c r="Q124" s="71"/>
      <c r="R124" s="71">
        <v>0</v>
      </c>
      <c r="S124" s="71">
        <v>0</v>
      </c>
    </row>
    <row r="125" spans="1:19" x14ac:dyDescent="0.3">
      <c r="A125" s="86" t="s">
        <v>1078</v>
      </c>
      <c r="B125" s="86" t="s">
        <v>47</v>
      </c>
      <c r="C125" s="86" t="s">
        <v>535</v>
      </c>
      <c r="D125" s="86" t="s">
        <v>537</v>
      </c>
      <c r="E125" s="86" t="s">
        <v>536</v>
      </c>
      <c r="F125" s="86" t="s">
        <v>47</v>
      </c>
      <c r="G125" s="86" t="s">
        <v>48</v>
      </c>
      <c r="H125" s="86" t="s">
        <v>141</v>
      </c>
      <c r="I125">
        <v>96000</v>
      </c>
      <c r="J125">
        <v>0</v>
      </c>
      <c r="K125">
        <v>0</v>
      </c>
      <c r="L125">
        <v>96000</v>
      </c>
      <c r="M125">
        <v>0</v>
      </c>
      <c r="N125" s="86" t="s">
        <v>1077</v>
      </c>
      <c r="O125" s="73" t="s">
        <v>553</v>
      </c>
      <c r="P125" s="71"/>
      <c r="Q125" s="71">
        <v>29752</v>
      </c>
      <c r="R125" s="71">
        <v>240000</v>
      </c>
      <c r="S125" s="71">
        <v>269752</v>
      </c>
    </row>
    <row r="126" spans="1:19" x14ac:dyDescent="0.3">
      <c r="A126" s="86" t="s">
        <v>1078</v>
      </c>
      <c r="B126" s="86" t="s">
        <v>47</v>
      </c>
      <c r="C126" s="86" t="s">
        <v>541</v>
      </c>
      <c r="D126" s="86" t="s">
        <v>543</v>
      </c>
      <c r="E126" s="86" t="s">
        <v>542</v>
      </c>
      <c r="F126" s="86" t="s">
        <v>47</v>
      </c>
      <c r="G126" s="86" t="s">
        <v>48</v>
      </c>
      <c r="H126" s="86" t="s">
        <v>141</v>
      </c>
      <c r="I126">
        <v>50000</v>
      </c>
      <c r="J126">
        <v>0</v>
      </c>
      <c r="K126">
        <v>0</v>
      </c>
      <c r="L126">
        <v>50000</v>
      </c>
      <c r="M126">
        <v>0</v>
      </c>
      <c r="N126" s="86" t="s">
        <v>1077</v>
      </c>
      <c r="O126" s="73" t="s">
        <v>559</v>
      </c>
      <c r="P126" s="71"/>
      <c r="Q126" s="71"/>
      <c r="R126" s="71">
        <v>191000</v>
      </c>
      <c r="S126" s="71">
        <v>191000</v>
      </c>
    </row>
    <row r="127" spans="1:19" x14ac:dyDescent="0.3">
      <c r="A127" s="86" t="s">
        <v>1078</v>
      </c>
      <c r="B127" s="86" t="s">
        <v>47</v>
      </c>
      <c r="C127" s="86" t="s">
        <v>544</v>
      </c>
      <c r="D127" s="86" t="s">
        <v>546</v>
      </c>
      <c r="E127" s="86" t="s">
        <v>545</v>
      </c>
      <c r="F127" s="86" t="s">
        <v>47</v>
      </c>
      <c r="G127" s="86" t="s">
        <v>48</v>
      </c>
      <c r="H127" s="86" t="s">
        <v>141</v>
      </c>
      <c r="I127">
        <v>204000</v>
      </c>
      <c r="J127">
        <v>0</v>
      </c>
      <c r="K127">
        <v>0</v>
      </c>
      <c r="L127">
        <v>204000</v>
      </c>
      <c r="M127">
        <v>0</v>
      </c>
      <c r="N127" s="86" t="s">
        <v>1077</v>
      </c>
      <c r="O127" s="73" t="s">
        <v>562</v>
      </c>
      <c r="P127" s="71"/>
      <c r="Q127" s="71">
        <v>47571</v>
      </c>
      <c r="R127" s="71">
        <v>104000</v>
      </c>
      <c r="S127" s="71">
        <v>151571</v>
      </c>
    </row>
    <row r="128" spans="1:19" x14ac:dyDescent="0.3">
      <c r="A128" s="86" t="s">
        <v>1078</v>
      </c>
      <c r="B128" s="86" t="s">
        <v>47</v>
      </c>
      <c r="C128" s="86" t="s">
        <v>550</v>
      </c>
      <c r="D128" s="86" t="s">
        <v>552</v>
      </c>
      <c r="E128" s="86" t="s">
        <v>551</v>
      </c>
      <c r="F128" s="86" t="s">
        <v>47</v>
      </c>
      <c r="G128" s="86" t="s">
        <v>48</v>
      </c>
      <c r="H128" s="86" t="s">
        <v>141</v>
      </c>
      <c r="I128">
        <v>0</v>
      </c>
      <c r="J128">
        <v>0</v>
      </c>
      <c r="K128">
        <v>0</v>
      </c>
      <c r="L128">
        <v>0</v>
      </c>
      <c r="M128">
        <v>0</v>
      </c>
      <c r="N128" s="86" t="s">
        <v>1077</v>
      </c>
      <c r="O128" s="73" t="s">
        <v>568</v>
      </c>
      <c r="P128" s="71"/>
      <c r="Q128" s="71">
        <v>11949</v>
      </c>
      <c r="R128" s="71">
        <v>48000</v>
      </c>
      <c r="S128" s="71">
        <v>59949</v>
      </c>
    </row>
    <row r="129" spans="1:19" x14ac:dyDescent="0.3">
      <c r="A129" s="86" t="s">
        <v>1078</v>
      </c>
      <c r="B129" s="86" t="s">
        <v>47</v>
      </c>
      <c r="C129" s="86" t="s">
        <v>553</v>
      </c>
      <c r="D129" s="86" t="s">
        <v>555</v>
      </c>
      <c r="E129" s="86" t="s">
        <v>554</v>
      </c>
      <c r="F129" s="86" t="s">
        <v>47</v>
      </c>
      <c r="G129" s="86" t="s">
        <v>48</v>
      </c>
      <c r="H129" s="86" t="s">
        <v>141</v>
      </c>
      <c r="I129">
        <v>0</v>
      </c>
      <c r="J129">
        <v>240000</v>
      </c>
      <c r="K129">
        <v>0</v>
      </c>
      <c r="L129">
        <v>240000</v>
      </c>
      <c r="M129">
        <v>0</v>
      </c>
      <c r="N129" s="86" t="s">
        <v>1077</v>
      </c>
      <c r="O129" s="73" t="s">
        <v>571</v>
      </c>
      <c r="P129" s="71"/>
      <c r="Q129" s="71">
        <v>24149</v>
      </c>
      <c r="R129" s="71">
        <v>54930</v>
      </c>
      <c r="S129" s="71">
        <v>79079</v>
      </c>
    </row>
    <row r="130" spans="1:19" x14ac:dyDescent="0.3">
      <c r="A130" s="86" t="s">
        <v>1078</v>
      </c>
      <c r="B130" s="86" t="s">
        <v>47</v>
      </c>
      <c r="C130" s="86" t="s">
        <v>559</v>
      </c>
      <c r="D130" s="86" t="s">
        <v>561</v>
      </c>
      <c r="E130" s="86" t="s">
        <v>560</v>
      </c>
      <c r="F130" s="86" t="s">
        <v>47</v>
      </c>
      <c r="G130" s="86" t="s">
        <v>48</v>
      </c>
      <c r="H130" s="86" t="s">
        <v>141</v>
      </c>
      <c r="I130">
        <v>191000</v>
      </c>
      <c r="J130">
        <v>0</v>
      </c>
      <c r="K130">
        <v>0</v>
      </c>
      <c r="L130">
        <v>191000</v>
      </c>
      <c r="M130">
        <v>0</v>
      </c>
      <c r="N130" s="86" t="s">
        <v>1077</v>
      </c>
      <c r="O130" s="73" t="s">
        <v>574</v>
      </c>
      <c r="P130" s="71"/>
      <c r="Q130" s="71"/>
      <c r="R130" s="71">
        <v>47000</v>
      </c>
      <c r="S130" s="71">
        <v>47000</v>
      </c>
    </row>
    <row r="131" spans="1:19" x14ac:dyDescent="0.3">
      <c r="A131" s="86" t="s">
        <v>1078</v>
      </c>
      <c r="B131" s="86" t="s">
        <v>47</v>
      </c>
      <c r="C131" s="86" t="s">
        <v>562</v>
      </c>
      <c r="D131" s="86" t="s">
        <v>564</v>
      </c>
      <c r="E131" s="86" t="s">
        <v>563</v>
      </c>
      <c r="F131" s="86" t="s">
        <v>47</v>
      </c>
      <c r="G131" s="86" t="s">
        <v>48</v>
      </c>
      <c r="H131" s="86" t="s">
        <v>141</v>
      </c>
      <c r="I131">
        <v>104000</v>
      </c>
      <c r="J131">
        <v>0</v>
      </c>
      <c r="K131">
        <v>0</v>
      </c>
      <c r="L131">
        <v>104000</v>
      </c>
      <c r="M131">
        <v>0</v>
      </c>
      <c r="N131" s="86" t="s">
        <v>1077</v>
      </c>
      <c r="O131" s="73" t="s">
        <v>577</v>
      </c>
      <c r="P131" s="71"/>
      <c r="Q131" s="71">
        <v>19570</v>
      </c>
      <c r="R131" s="71">
        <v>69000</v>
      </c>
      <c r="S131" s="71">
        <v>88570</v>
      </c>
    </row>
    <row r="132" spans="1:19" x14ac:dyDescent="0.3">
      <c r="A132" s="86" t="s">
        <v>1078</v>
      </c>
      <c r="B132" s="86" t="s">
        <v>47</v>
      </c>
      <c r="C132" s="86" t="s">
        <v>568</v>
      </c>
      <c r="D132" s="86" t="s">
        <v>570</v>
      </c>
      <c r="E132" s="86" t="s">
        <v>569</v>
      </c>
      <c r="F132" s="86" t="s">
        <v>47</v>
      </c>
      <c r="G132" s="86" t="s">
        <v>48</v>
      </c>
      <c r="H132" s="86" t="s">
        <v>141</v>
      </c>
      <c r="I132">
        <v>48000</v>
      </c>
      <c r="J132">
        <v>0</v>
      </c>
      <c r="K132">
        <v>0</v>
      </c>
      <c r="L132">
        <v>48000</v>
      </c>
      <c r="M132">
        <v>0</v>
      </c>
      <c r="N132" s="86" t="s">
        <v>1077</v>
      </c>
      <c r="O132" s="73" t="s">
        <v>580</v>
      </c>
      <c r="P132" s="71"/>
      <c r="Q132" s="71"/>
      <c r="R132" s="71">
        <v>100000</v>
      </c>
      <c r="S132" s="71">
        <v>100000</v>
      </c>
    </row>
    <row r="133" spans="1:19" x14ac:dyDescent="0.3">
      <c r="A133" s="86" t="s">
        <v>1078</v>
      </c>
      <c r="B133" s="86" t="s">
        <v>47</v>
      </c>
      <c r="C133" s="86" t="s">
        <v>571</v>
      </c>
      <c r="D133" s="86" t="s">
        <v>573</v>
      </c>
      <c r="E133" s="86" t="s">
        <v>572</v>
      </c>
      <c r="F133" s="86" t="s">
        <v>47</v>
      </c>
      <c r="G133" s="86" t="s">
        <v>48</v>
      </c>
      <c r="H133" s="86" t="s">
        <v>141</v>
      </c>
      <c r="I133">
        <v>54930</v>
      </c>
      <c r="J133">
        <v>0</v>
      </c>
      <c r="K133">
        <v>0</v>
      </c>
      <c r="L133">
        <v>54930</v>
      </c>
      <c r="M133">
        <v>0</v>
      </c>
      <c r="N133" s="86" t="s">
        <v>1077</v>
      </c>
      <c r="O133" s="73" t="s">
        <v>586</v>
      </c>
      <c r="P133" s="71"/>
      <c r="Q133" s="71">
        <v>61538</v>
      </c>
      <c r="R133" s="71">
        <v>146000</v>
      </c>
      <c r="S133" s="71">
        <v>207538</v>
      </c>
    </row>
    <row r="134" spans="1:19" x14ac:dyDescent="0.3">
      <c r="A134" s="86" t="s">
        <v>1078</v>
      </c>
      <c r="B134" s="86" t="s">
        <v>47</v>
      </c>
      <c r="C134" s="86" t="s">
        <v>574</v>
      </c>
      <c r="D134" s="86" t="s">
        <v>576</v>
      </c>
      <c r="E134" s="86" t="s">
        <v>575</v>
      </c>
      <c r="F134" s="86" t="s">
        <v>47</v>
      </c>
      <c r="G134" s="86" t="s">
        <v>48</v>
      </c>
      <c r="H134" s="86" t="s">
        <v>141</v>
      </c>
      <c r="I134">
        <v>47000</v>
      </c>
      <c r="J134">
        <v>0</v>
      </c>
      <c r="K134">
        <v>0</v>
      </c>
      <c r="L134">
        <v>47000</v>
      </c>
      <c r="M134">
        <v>0</v>
      </c>
      <c r="N134" s="86" t="s">
        <v>1077</v>
      </c>
      <c r="O134" s="73" t="s">
        <v>592</v>
      </c>
      <c r="P134" s="71"/>
      <c r="Q134" s="71"/>
      <c r="R134" s="71">
        <v>0</v>
      </c>
      <c r="S134" s="71">
        <v>0</v>
      </c>
    </row>
    <row r="135" spans="1:19" x14ac:dyDescent="0.3">
      <c r="A135" s="86" t="s">
        <v>1078</v>
      </c>
      <c r="B135" s="86" t="s">
        <v>47</v>
      </c>
      <c r="C135" s="86" t="s">
        <v>577</v>
      </c>
      <c r="D135" s="86" t="s">
        <v>579</v>
      </c>
      <c r="E135" s="86" t="s">
        <v>578</v>
      </c>
      <c r="F135" s="86" t="s">
        <v>47</v>
      </c>
      <c r="G135" s="86" t="s">
        <v>48</v>
      </c>
      <c r="H135" s="86" t="s">
        <v>141</v>
      </c>
      <c r="I135">
        <v>69000</v>
      </c>
      <c r="J135">
        <v>0</v>
      </c>
      <c r="K135">
        <v>0</v>
      </c>
      <c r="L135">
        <v>69000</v>
      </c>
      <c r="M135">
        <v>0</v>
      </c>
      <c r="N135" s="86" t="s">
        <v>1077</v>
      </c>
      <c r="O135" s="73" t="s">
        <v>598</v>
      </c>
      <c r="P135" s="71"/>
      <c r="Q135" s="71">
        <v>17177</v>
      </c>
      <c r="R135" s="71">
        <v>260000</v>
      </c>
      <c r="S135" s="71">
        <v>277177</v>
      </c>
    </row>
    <row r="136" spans="1:19" x14ac:dyDescent="0.3">
      <c r="A136" s="86" t="s">
        <v>1078</v>
      </c>
      <c r="B136" s="86" t="s">
        <v>47</v>
      </c>
      <c r="C136" s="86" t="s">
        <v>580</v>
      </c>
      <c r="D136" s="86" t="s">
        <v>582</v>
      </c>
      <c r="E136" s="86" t="s">
        <v>581</v>
      </c>
      <c r="F136" s="86" t="s">
        <v>47</v>
      </c>
      <c r="G136" s="86" t="s">
        <v>48</v>
      </c>
      <c r="H136" s="86" t="s">
        <v>141</v>
      </c>
      <c r="I136">
        <v>100000</v>
      </c>
      <c r="J136">
        <v>0</v>
      </c>
      <c r="K136">
        <v>0</v>
      </c>
      <c r="L136">
        <v>100000</v>
      </c>
      <c r="M136">
        <v>0</v>
      </c>
      <c r="N136" s="86" t="s">
        <v>1077</v>
      </c>
      <c r="O136" s="73" t="s">
        <v>601</v>
      </c>
      <c r="P136" s="71"/>
      <c r="Q136" s="71"/>
      <c r="R136" s="71">
        <v>570000</v>
      </c>
      <c r="S136" s="71">
        <v>570000</v>
      </c>
    </row>
    <row r="137" spans="1:19" x14ac:dyDescent="0.3">
      <c r="A137" s="86" t="s">
        <v>1078</v>
      </c>
      <c r="B137" s="86" t="s">
        <v>47</v>
      </c>
      <c r="C137" s="86" t="s">
        <v>586</v>
      </c>
      <c r="D137" s="86" t="s">
        <v>588</v>
      </c>
      <c r="E137" s="86" t="s">
        <v>587</v>
      </c>
      <c r="F137" s="86" t="s">
        <v>47</v>
      </c>
      <c r="G137" s="86" t="s">
        <v>48</v>
      </c>
      <c r="H137" s="86" t="s">
        <v>141</v>
      </c>
      <c r="I137">
        <v>253000</v>
      </c>
      <c r="J137">
        <v>0</v>
      </c>
      <c r="K137">
        <v>107000</v>
      </c>
      <c r="L137">
        <v>146000</v>
      </c>
      <c r="M137">
        <v>0</v>
      </c>
      <c r="N137" s="86" t="s">
        <v>1077</v>
      </c>
      <c r="O137" s="73" t="s">
        <v>604</v>
      </c>
      <c r="P137" s="71"/>
      <c r="Q137" s="71">
        <v>18069</v>
      </c>
      <c r="R137" s="71">
        <v>48000</v>
      </c>
      <c r="S137" s="71">
        <v>66069</v>
      </c>
    </row>
    <row r="138" spans="1:19" x14ac:dyDescent="0.3">
      <c r="A138" s="86" t="s">
        <v>1078</v>
      </c>
      <c r="B138" s="86" t="s">
        <v>47</v>
      </c>
      <c r="C138" s="86" t="s">
        <v>592</v>
      </c>
      <c r="D138" s="86" t="s">
        <v>594</v>
      </c>
      <c r="E138" s="86" t="s">
        <v>593</v>
      </c>
      <c r="F138" s="86" t="s">
        <v>47</v>
      </c>
      <c r="G138" s="86" t="s">
        <v>48</v>
      </c>
      <c r="H138" s="86" t="s">
        <v>141</v>
      </c>
      <c r="I138">
        <v>0</v>
      </c>
      <c r="J138">
        <v>0</v>
      </c>
      <c r="K138">
        <v>0</v>
      </c>
      <c r="L138">
        <v>0</v>
      </c>
      <c r="M138">
        <v>0</v>
      </c>
      <c r="N138" s="86" t="s">
        <v>1077</v>
      </c>
      <c r="O138" s="73" t="s">
        <v>610</v>
      </c>
      <c r="P138" s="71"/>
      <c r="Q138" s="71">
        <v>9922</v>
      </c>
      <c r="R138" s="71">
        <v>0</v>
      </c>
      <c r="S138" s="71">
        <v>9922</v>
      </c>
    </row>
    <row r="139" spans="1:19" x14ac:dyDescent="0.3">
      <c r="A139" s="86" t="s">
        <v>1078</v>
      </c>
      <c r="B139" s="86" t="s">
        <v>47</v>
      </c>
      <c r="C139" s="86" t="s">
        <v>598</v>
      </c>
      <c r="D139" s="86" t="s">
        <v>600</v>
      </c>
      <c r="E139" s="86" t="s">
        <v>599</v>
      </c>
      <c r="F139" s="86" t="s">
        <v>47</v>
      </c>
      <c r="G139" s="86" t="s">
        <v>48</v>
      </c>
      <c r="H139" s="86" t="s">
        <v>141</v>
      </c>
      <c r="I139">
        <v>260000</v>
      </c>
      <c r="J139">
        <v>0</v>
      </c>
      <c r="K139">
        <v>0</v>
      </c>
      <c r="L139">
        <v>260000</v>
      </c>
      <c r="M139">
        <v>0</v>
      </c>
      <c r="N139" s="86" t="s">
        <v>1077</v>
      </c>
      <c r="O139" s="73" t="s">
        <v>613</v>
      </c>
      <c r="P139" s="71"/>
      <c r="Q139" s="71">
        <v>67095</v>
      </c>
      <c r="R139" s="71">
        <v>0</v>
      </c>
      <c r="S139" s="71">
        <v>67095</v>
      </c>
    </row>
    <row r="140" spans="1:19" x14ac:dyDescent="0.3">
      <c r="A140" s="86" t="s">
        <v>1078</v>
      </c>
      <c r="B140" s="86" t="s">
        <v>47</v>
      </c>
      <c r="C140" s="86" t="s">
        <v>601</v>
      </c>
      <c r="D140" s="86" t="s">
        <v>603</v>
      </c>
      <c r="E140" s="86" t="s">
        <v>602</v>
      </c>
      <c r="F140" s="86" t="s">
        <v>47</v>
      </c>
      <c r="G140" s="86" t="s">
        <v>48</v>
      </c>
      <c r="H140" s="86" t="s">
        <v>141</v>
      </c>
      <c r="I140">
        <v>570000</v>
      </c>
      <c r="J140">
        <v>0</v>
      </c>
      <c r="K140">
        <v>0</v>
      </c>
      <c r="L140">
        <v>570000</v>
      </c>
      <c r="M140">
        <v>0</v>
      </c>
      <c r="N140" s="86" t="s">
        <v>1077</v>
      </c>
      <c r="O140" s="73" t="s">
        <v>616</v>
      </c>
      <c r="P140" s="71"/>
      <c r="Q140" s="71"/>
      <c r="R140" s="71">
        <v>0</v>
      </c>
      <c r="S140" s="71">
        <v>0</v>
      </c>
    </row>
    <row r="141" spans="1:19" x14ac:dyDescent="0.3">
      <c r="A141" s="86" t="s">
        <v>1078</v>
      </c>
      <c r="B141" s="86" t="s">
        <v>47</v>
      </c>
      <c r="C141" s="86" t="s">
        <v>604</v>
      </c>
      <c r="D141" s="86" t="s">
        <v>606</v>
      </c>
      <c r="E141" s="86" t="s">
        <v>605</v>
      </c>
      <c r="F141" s="86" t="s">
        <v>47</v>
      </c>
      <c r="G141" s="86" t="s">
        <v>48</v>
      </c>
      <c r="H141" s="86" t="s">
        <v>141</v>
      </c>
      <c r="I141">
        <v>48000</v>
      </c>
      <c r="J141">
        <v>0</v>
      </c>
      <c r="K141">
        <v>0</v>
      </c>
      <c r="L141">
        <v>48000</v>
      </c>
      <c r="M141">
        <v>0</v>
      </c>
      <c r="N141" s="86" t="s">
        <v>1077</v>
      </c>
      <c r="O141" s="73" t="s">
        <v>619</v>
      </c>
      <c r="P141" s="71"/>
      <c r="Q141" s="71">
        <v>59165</v>
      </c>
      <c r="R141" s="71">
        <v>192000</v>
      </c>
      <c r="S141" s="71">
        <v>251165</v>
      </c>
    </row>
    <row r="142" spans="1:19" x14ac:dyDescent="0.3">
      <c r="A142" s="86" t="s">
        <v>1078</v>
      </c>
      <c r="B142" s="86" t="s">
        <v>47</v>
      </c>
      <c r="C142" s="86" t="s">
        <v>610</v>
      </c>
      <c r="D142" s="86" t="s">
        <v>612</v>
      </c>
      <c r="E142" s="86" t="s">
        <v>611</v>
      </c>
      <c r="F142" s="86" t="s">
        <v>47</v>
      </c>
      <c r="G142" s="86" t="s">
        <v>48</v>
      </c>
      <c r="H142" s="86" t="s">
        <v>141</v>
      </c>
      <c r="I142">
        <v>0</v>
      </c>
      <c r="J142">
        <v>0</v>
      </c>
      <c r="K142">
        <v>0</v>
      </c>
      <c r="L142">
        <v>0</v>
      </c>
      <c r="M142">
        <v>0</v>
      </c>
      <c r="N142" s="86" t="s">
        <v>1077</v>
      </c>
      <c r="O142" s="73" t="s">
        <v>628</v>
      </c>
      <c r="P142" s="71"/>
      <c r="Q142" s="71">
        <v>54115</v>
      </c>
      <c r="R142" s="71">
        <v>92000</v>
      </c>
      <c r="S142" s="71">
        <v>146115</v>
      </c>
    </row>
    <row r="143" spans="1:19" x14ac:dyDescent="0.3">
      <c r="A143" s="86" t="s">
        <v>1078</v>
      </c>
      <c r="B143" s="86" t="s">
        <v>47</v>
      </c>
      <c r="C143" s="86" t="s">
        <v>613</v>
      </c>
      <c r="D143" s="86" t="s">
        <v>615</v>
      </c>
      <c r="E143" s="86" t="s">
        <v>614</v>
      </c>
      <c r="F143" s="86" t="s">
        <v>47</v>
      </c>
      <c r="G143" s="86" t="s">
        <v>48</v>
      </c>
      <c r="H143" s="86" t="s">
        <v>141</v>
      </c>
      <c r="I143">
        <v>0</v>
      </c>
      <c r="J143">
        <v>0</v>
      </c>
      <c r="K143">
        <v>0</v>
      </c>
      <c r="L143">
        <v>0</v>
      </c>
      <c r="M143">
        <v>0</v>
      </c>
      <c r="N143" s="86" t="s">
        <v>1077</v>
      </c>
      <c r="O143" s="73" t="s">
        <v>631</v>
      </c>
      <c r="P143" s="71"/>
      <c r="Q143" s="71"/>
      <c r="R143" s="71">
        <v>0</v>
      </c>
      <c r="S143" s="71">
        <v>0</v>
      </c>
    </row>
    <row r="144" spans="1:19" x14ac:dyDescent="0.3">
      <c r="A144" s="86" t="s">
        <v>1078</v>
      </c>
      <c r="B144" s="86" t="s">
        <v>47</v>
      </c>
      <c r="C144" s="86" t="s">
        <v>616</v>
      </c>
      <c r="D144" s="86" t="s">
        <v>618</v>
      </c>
      <c r="E144" s="86" t="s">
        <v>617</v>
      </c>
      <c r="F144" s="86" t="s">
        <v>47</v>
      </c>
      <c r="G144" s="86" t="s">
        <v>48</v>
      </c>
      <c r="H144" s="86" t="s">
        <v>141</v>
      </c>
      <c r="I144">
        <v>0</v>
      </c>
      <c r="J144">
        <v>0</v>
      </c>
      <c r="K144">
        <v>0</v>
      </c>
      <c r="L144">
        <v>0</v>
      </c>
      <c r="M144">
        <v>0</v>
      </c>
      <c r="N144" s="86" t="s">
        <v>1077</v>
      </c>
      <c r="O144" s="73" t="s">
        <v>637</v>
      </c>
      <c r="P144" s="71"/>
      <c r="Q144" s="71"/>
      <c r="R144" s="71">
        <v>240000</v>
      </c>
      <c r="S144" s="71">
        <v>240000</v>
      </c>
    </row>
    <row r="145" spans="1:19" x14ac:dyDescent="0.3">
      <c r="A145" s="86" t="s">
        <v>1078</v>
      </c>
      <c r="B145" s="86" t="s">
        <v>47</v>
      </c>
      <c r="C145" s="86" t="s">
        <v>619</v>
      </c>
      <c r="D145" s="86" t="s">
        <v>621</v>
      </c>
      <c r="E145" s="86" t="s">
        <v>620</v>
      </c>
      <c r="F145" s="86" t="s">
        <v>47</v>
      </c>
      <c r="G145" s="86" t="s">
        <v>48</v>
      </c>
      <c r="H145" s="86" t="s">
        <v>141</v>
      </c>
      <c r="I145">
        <v>192000</v>
      </c>
      <c r="J145">
        <v>0</v>
      </c>
      <c r="K145">
        <v>0</v>
      </c>
      <c r="L145">
        <v>192000</v>
      </c>
      <c r="M145">
        <v>0</v>
      </c>
      <c r="N145" s="86" t="s">
        <v>1077</v>
      </c>
      <c r="O145" s="73" t="s">
        <v>640</v>
      </c>
      <c r="P145" s="71"/>
      <c r="Q145" s="71">
        <v>43396</v>
      </c>
      <c r="R145" s="71">
        <v>143000</v>
      </c>
      <c r="S145" s="71">
        <v>186396</v>
      </c>
    </row>
    <row r="146" spans="1:19" x14ac:dyDescent="0.3">
      <c r="A146" s="86" t="s">
        <v>1078</v>
      </c>
      <c r="B146" s="86" t="s">
        <v>47</v>
      </c>
      <c r="C146" s="86" t="s">
        <v>628</v>
      </c>
      <c r="D146" s="86" t="s">
        <v>630</v>
      </c>
      <c r="E146" s="86" t="s">
        <v>629</v>
      </c>
      <c r="F146" s="86" t="s">
        <v>47</v>
      </c>
      <c r="G146" s="86" t="s">
        <v>48</v>
      </c>
      <c r="H146" s="86" t="s">
        <v>141</v>
      </c>
      <c r="I146">
        <v>92000</v>
      </c>
      <c r="J146">
        <v>0</v>
      </c>
      <c r="K146">
        <v>0</v>
      </c>
      <c r="L146">
        <v>92000</v>
      </c>
      <c r="M146">
        <v>0</v>
      </c>
      <c r="N146" s="86" t="s">
        <v>1077</v>
      </c>
      <c r="O146" s="73" t="s">
        <v>643</v>
      </c>
      <c r="P146" s="71"/>
      <c r="Q146" s="71"/>
      <c r="R146" s="71">
        <v>0</v>
      </c>
      <c r="S146" s="71">
        <v>0</v>
      </c>
    </row>
    <row r="147" spans="1:19" x14ac:dyDescent="0.3">
      <c r="A147" s="86" t="s">
        <v>1078</v>
      </c>
      <c r="B147" s="86" t="s">
        <v>47</v>
      </c>
      <c r="C147" s="86" t="s">
        <v>631</v>
      </c>
      <c r="D147" s="86" t="s">
        <v>633</v>
      </c>
      <c r="E147" s="86" t="s">
        <v>632</v>
      </c>
      <c r="F147" s="86" t="s">
        <v>47</v>
      </c>
      <c r="G147" s="86" t="s">
        <v>48</v>
      </c>
      <c r="H147" s="86" t="s">
        <v>141</v>
      </c>
      <c r="I147">
        <v>0</v>
      </c>
      <c r="J147">
        <v>0</v>
      </c>
      <c r="K147">
        <v>0</v>
      </c>
      <c r="L147">
        <v>0</v>
      </c>
      <c r="M147">
        <v>0</v>
      </c>
      <c r="N147" s="86" t="s">
        <v>1077</v>
      </c>
      <c r="O147" s="73" t="s">
        <v>646</v>
      </c>
      <c r="P147" s="71"/>
      <c r="Q147" s="71">
        <v>938</v>
      </c>
      <c r="R147" s="71">
        <v>437400</v>
      </c>
      <c r="S147" s="71">
        <v>438338</v>
      </c>
    </row>
    <row r="148" spans="1:19" x14ac:dyDescent="0.3">
      <c r="A148" s="86" t="s">
        <v>1078</v>
      </c>
      <c r="B148" s="86" t="s">
        <v>47</v>
      </c>
      <c r="C148" s="86" t="s">
        <v>637</v>
      </c>
      <c r="D148" s="86" t="s">
        <v>639</v>
      </c>
      <c r="E148" s="86" t="s">
        <v>638</v>
      </c>
      <c r="F148" s="86" t="s">
        <v>47</v>
      </c>
      <c r="G148" s="86" t="s">
        <v>48</v>
      </c>
      <c r="H148" s="86" t="s">
        <v>141</v>
      </c>
      <c r="I148">
        <v>240000</v>
      </c>
      <c r="J148">
        <v>0</v>
      </c>
      <c r="K148">
        <v>0</v>
      </c>
      <c r="L148">
        <v>240000</v>
      </c>
      <c r="M148">
        <v>0</v>
      </c>
      <c r="N148" s="86" t="s">
        <v>1077</v>
      </c>
      <c r="O148" s="73" t="s">
        <v>649</v>
      </c>
      <c r="P148" s="71"/>
      <c r="Q148" s="71"/>
      <c r="R148" s="71">
        <v>97000</v>
      </c>
      <c r="S148" s="71">
        <v>97000</v>
      </c>
    </row>
    <row r="149" spans="1:19" x14ac:dyDescent="0.3">
      <c r="A149" s="86" t="s">
        <v>1078</v>
      </c>
      <c r="B149" s="86" t="s">
        <v>47</v>
      </c>
      <c r="C149" s="86" t="s">
        <v>640</v>
      </c>
      <c r="D149" s="86" t="s">
        <v>642</v>
      </c>
      <c r="E149" s="86" t="s">
        <v>641</v>
      </c>
      <c r="F149" s="86" t="s">
        <v>47</v>
      </c>
      <c r="G149" s="86" t="s">
        <v>48</v>
      </c>
      <c r="H149" s="86" t="s">
        <v>141</v>
      </c>
      <c r="I149">
        <v>143000</v>
      </c>
      <c r="J149">
        <v>0</v>
      </c>
      <c r="K149">
        <v>0</v>
      </c>
      <c r="L149">
        <v>143000</v>
      </c>
      <c r="M149">
        <v>0</v>
      </c>
      <c r="N149" s="86" t="s">
        <v>1077</v>
      </c>
      <c r="O149" s="73" t="s">
        <v>652</v>
      </c>
      <c r="P149" s="71"/>
      <c r="Q149" s="71">
        <v>32616</v>
      </c>
      <c r="R149" s="71">
        <v>92000</v>
      </c>
      <c r="S149" s="71">
        <v>124616</v>
      </c>
    </row>
    <row r="150" spans="1:19" x14ac:dyDescent="0.3">
      <c r="A150" s="86" t="s">
        <v>1078</v>
      </c>
      <c r="B150" s="86" t="s">
        <v>47</v>
      </c>
      <c r="C150" s="86" t="s">
        <v>643</v>
      </c>
      <c r="D150" s="86" t="s">
        <v>645</v>
      </c>
      <c r="E150" s="86" t="s">
        <v>644</v>
      </c>
      <c r="F150" s="86" t="s">
        <v>47</v>
      </c>
      <c r="G150" s="86" t="s">
        <v>48</v>
      </c>
      <c r="H150" s="86" t="s">
        <v>141</v>
      </c>
      <c r="I150">
        <v>0</v>
      </c>
      <c r="J150">
        <v>0</v>
      </c>
      <c r="K150">
        <v>0</v>
      </c>
      <c r="L150">
        <v>0</v>
      </c>
      <c r="M150">
        <v>0</v>
      </c>
      <c r="N150" s="86" t="s">
        <v>1077</v>
      </c>
      <c r="O150" s="73" t="s">
        <v>655</v>
      </c>
      <c r="P150" s="71">
        <v>29386</v>
      </c>
      <c r="Q150" s="71"/>
      <c r="R150" s="71">
        <v>158303</v>
      </c>
      <c r="S150" s="71">
        <v>187689</v>
      </c>
    </row>
    <row r="151" spans="1:19" x14ac:dyDescent="0.3">
      <c r="A151" s="86" t="s">
        <v>1078</v>
      </c>
      <c r="B151" s="86" t="s">
        <v>47</v>
      </c>
      <c r="C151" s="86" t="s">
        <v>646</v>
      </c>
      <c r="D151" s="86" t="s">
        <v>648</v>
      </c>
      <c r="E151" s="86" t="s">
        <v>647</v>
      </c>
      <c r="F151" s="86" t="s">
        <v>47</v>
      </c>
      <c r="G151" s="86" t="s">
        <v>48</v>
      </c>
      <c r="H151" s="86" t="s">
        <v>141</v>
      </c>
      <c r="I151">
        <v>437400</v>
      </c>
      <c r="J151">
        <v>0</v>
      </c>
      <c r="K151">
        <v>0</v>
      </c>
      <c r="L151">
        <v>437400</v>
      </c>
      <c r="M151">
        <v>0</v>
      </c>
      <c r="N151" s="86" t="s">
        <v>1077</v>
      </c>
      <c r="O151" s="73" t="s">
        <v>660</v>
      </c>
      <c r="P151" s="71"/>
      <c r="Q151" s="71">
        <v>87143</v>
      </c>
      <c r="R151" s="71">
        <v>0</v>
      </c>
      <c r="S151" s="71">
        <v>87143</v>
      </c>
    </row>
    <row r="152" spans="1:19" x14ac:dyDescent="0.3">
      <c r="A152" s="86" t="s">
        <v>1078</v>
      </c>
      <c r="B152" s="86" t="s">
        <v>47</v>
      </c>
      <c r="C152" s="86" t="s">
        <v>649</v>
      </c>
      <c r="D152" s="86" t="s">
        <v>651</v>
      </c>
      <c r="E152" s="86" t="s">
        <v>650</v>
      </c>
      <c r="F152" s="86" t="s">
        <v>47</v>
      </c>
      <c r="G152" s="86" t="s">
        <v>48</v>
      </c>
      <c r="H152" s="86" t="s">
        <v>141</v>
      </c>
      <c r="I152">
        <v>337000</v>
      </c>
      <c r="J152">
        <v>0</v>
      </c>
      <c r="K152">
        <v>240000</v>
      </c>
      <c r="L152">
        <v>97000</v>
      </c>
      <c r="M152">
        <v>0</v>
      </c>
      <c r="N152" s="86" t="s">
        <v>1077</v>
      </c>
      <c r="O152" s="73" t="s">
        <v>663</v>
      </c>
      <c r="P152" s="71"/>
      <c r="Q152" s="71"/>
      <c r="R152" s="71">
        <v>0</v>
      </c>
      <c r="S152" s="71">
        <v>0</v>
      </c>
    </row>
    <row r="153" spans="1:19" x14ac:dyDescent="0.3">
      <c r="A153" s="86" t="s">
        <v>1078</v>
      </c>
      <c r="B153" s="86" t="s">
        <v>47</v>
      </c>
      <c r="C153" s="86" t="s">
        <v>652</v>
      </c>
      <c r="D153" s="86" t="s">
        <v>654</v>
      </c>
      <c r="E153" s="86" t="s">
        <v>653</v>
      </c>
      <c r="F153" s="86" t="s">
        <v>47</v>
      </c>
      <c r="G153" s="86" t="s">
        <v>48</v>
      </c>
      <c r="H153" s="86" t="s">
        <v>141</v>
      </c>
      <c r="I153">
        <v>92000</v>
      </c>
      <c r="J153">
        <v>0</v>
      </c>
      <c r="K153">
        <v>0</v>
      </c>
      <c r="L153">
        <v>92000</v>
      </c>
      <c r="M153">
        <v>0</v>
      </c>
      <c r="N153" s="86" t="s">
        <v>1077</v>
      </c>
      <c r="O153" s="73" t="s">
        <v>666</v>
      </c>
      <c r="P153" s="71"/>
      <c r="Q153" s="71">
        <v>82537</v>
      </c>
      <c r="R153" s="71">
        <v>241000</v>
      </c>
      <c r="S153" s="71">
        <v>323537</v>
      </c>
    </row>
    <row r="154" spans="1:19" x14ac:dyDescent="0.3">
      <c r="A154" s="86" t="s">
        <v>1078</v>
      </c>
      <c r="B154" s="86" t="s">
        <v>47</v>
      </c>
      <c r="C154" s="86" t="s">
        <v>655</v>
      </c>
      <c r="D154" s="86" t="s">
        <v>657</v>
      </c>
      <c r="E154" s="86" t="s">
        <v>656</v>
      </c>
      <c r="F154" s="86" t="s">
        <v>47</v>
      </c>
      <c r="G154" s="86" t="s">
        <v>48</v>
      </c>
      <c r="H154" s="86" t="s">
        <v>141</v>
      </c>
      <c r="I154">
        <v>158303</v>
      </c>
      <c r="J154">
        <v>0</v>
      </c>
      <c r="K154">
        <v>0</v>
      </c>
      <c r="L154">
        <v>158303</v>
      </c>
      <c r="M154">
        <v>0</v>
      </c>
      <c r="N154" s="86" t="s">
        <v>1077</v>
      </c>
      <c r="O154" s="73" t="s">
        <v>669</v>
      </c>
      <c r="P154" s="71"/>
      <c r="Q154" s="71">
        <v>69254</v>
      </c>
      <c r="R154" s="71">
        <v>0</v>
      </c>
      <c r="S154" s="71">
        <v>69254</v>
      </c>
    </row>
    <row r="155" spans="1:19" x14ac:dyDescent="0.3">
      <c r="A155" s="86" t="s">
        <v>1078</v>
      </c>
      <c r="B155" s="86" t="s">
        <v>47</v>
      </c>
      <c r="C155" s="86" t="s">
        <v>660</v>
      </c>
      <c r="D155" s="86" t="s">
        <v>662</v>
      </c>
      <c r="E155" s="86" t="s">
        <v>661</v>
      </c>
      <c r="F155" s="86" t="s">
        <v>47</v>
      </c>
      <c r="G155" s="86" t="s">
        <v>48</v>
      </c>
      <c r="H155" s="86" t="s">
        <v>141</v>
      </c>
      <c r="I155">
        <v>0</v>
      </c>
      <c r="J155">
        <v>0</v>
      </c>
      <c r="K155">
        <v>0</v>
      </c>
      <c r="L155">
        <v>0</v>
      </c>
      <c r="M155">
        <v>0</v>
      </c>
      <c r="N155" s="86" t="s">
        <v>1077</v>
      </c>
      <c r="O155" s="73" t="s">
        <v>672</v>
      </c>
      <c r="P155" s="71">
        <v>30966</v>
      </c>
      <c r="Q155" s="71"/>
      <c r="R155" s="71">
        <v>50000</v>
      </c>
      <c r="S155" s="71">
        <v>80966</v>
      </c>
    </row>
    <row r="156" spans="1:19" x14ac:dyDescent="0.3">
      <c r="A156" s="86" t="s">
        <v>1078</v>
      </c>
      <c r="B156" s="86" t="s">
        <v>47</v>
      </c>
      <c r="C156" s="86" t="s">
        <v>663</v>
      </c>
      <c r="D156" s="86" t="s">
        <v>665</v>
      </c>
      <c r="E156" s="86" t="s">
        <v>664</v>
      </c>
      <c r="F156" s="86" t="s">
        <v>47</v>
      </c>
      <c r="G156" s="86" t="s">
        <v>48</v>
      </c>
      <c r="H156" s="86" t="s">
        <v>141</v>
      </c>
      <c r="I156">
        <v>0</v>
      </c>
      <c r="J156">
        <v>0</v>
      </c>
      <c r="K156">
        <v>0</v>
      </c>
      <c r="L156">
        <v>0</v>
      </c>
      <c r="M156">
        <v>0</v>
      </c>
      <c r="N156" s="86" t="s">
        <v>1077</v>
      </c>
      <c r="O156" s="73" t="s">
        <v>675</v>
      </c>
      <c r="P156" s="71"/>
      <c r="Q156" s="71">
        <v>36452</v>
      </c>
      <c r="R156" s="71">
        <v>100000</v>
      </c>
      <c r="S156" s="71">
        <v>136452</v>
      </c>
    </row>
    <row r="157" spans="1:19" x14ac:dyDescent="0.3">
      <c r="A157" s="86" t="s">
        <v>1078</v>
      </c>
      <c r="B157" s="86" t="s">
        <v>47</v>
      </c>
      <c r="C157" s="86" t="s">
        <v>666</v>
      </c>
      <c r="D157" s="86" t="s">
        <v>668</v>
      </c>
      <c r="E157" s="86" t="s">
        <v>667</v>
      </c>
      <c r="F157" s="86" t="s">
        <v>47</v>
      </c>
      <c r="G157" s="86" t="s">
        <v>48</v>
      </c>
      <c r="H157" s="86" t="s">
        <v>141</v>
      </c>
      <c r="I157">
        <v>241000</v>
      </c>
      <c r="J157">
        <v>0</v>
      </c>
      <c r="K157">
        <v>0</v>
      </c>
      <c r="L157">
        <v>241000</v>
      </c>
      <c r="M157">
        <v>0</v>
      </c>
      <c r="N157" s="86" t="s">
        <v>1077</v>
      </c>
      <c r="O157" s="73" t="s">
        <v>681</v>
      </c>
      <c r="P157" s="71">
        <v>8682</v>
      </c>
      <c r="Q157" s="71"/>
      <c r="R157" s="71">
        <v>134368</v>
      </c>
      <c r="S157" s="71">
        <v>143050</v>
      </c>
    </row>
    <row r="158" spans="1:19" x14ac:dyDescent="0.3">
      <c r="A158" s="86" t="s">
        <v>1078</v>
      </c>
      <c r="B158" s="86" t="s">
        <v>47</v>
      </c>
      <c r="C158" s="86" t="s">
        <v>669</v>
      </c>
      <c r="D158" s="86" t="s">
        <v>671</v>
      </c>
      <c r="E158" s="86" t="s">
        <v>670</v>
      </c>
      <c r="F158" s="86" t="s">
        <v>47</v>
      </c>
      <c r="G158" s="86" t="s">
        <v>48</v>
      </c>
      <c r="H158" s="86" t="s">
        <v>141</v>
      </c>
      <c r="I158">
        <v>0</v>
      </c>
      <c r="J158">
        <v>0</v>
      </c>
      <c r="K158">
        <v>0</v>
      </c>
      <c r="L158">
        <v>0</v>
      </c>
      <c r="M158">
        <v>0</v>
      </c>
      <c r="N158" s="86" t="s">
        <v>1077</v>
      </c>
      <c r="O158" s="73" t="s">
        <v>684</v>
      </c>
      <c r="P158" s="71"/>
      <c r="Q158" s="71">
        <v>43547</v>
      </c>
      <c r="R158" s="71">
        <v>100000</v>
      </c>
      <c r="S158" s="71">
        <v>143547</v>
      </c>
    </row>
    <row r="159" spans="1:19" x14ac:dyDescent="0.3">
      <c r="A159" s="86" t="s">
        <v>1078</v>
      </c>
      <c r="B159" s="86" t="s">
        <v>47</v>
      </c>
      <c r="C159" s="86" t="s">
        <v>672</v>
      </c>
      <c r="D159" s="86" t="s">
        <v>674</v>
      </c>
      <c r="E159" s="86" t="s">
        <v>673</v>
      </c>
      <c r="F159" s="86" t="s">
        <v>47</v>
      </c>
      <c r="G159" s="86" t="s">
        <v>48</v>
      </c>
      <c r="H159" s="86" t="s">
        <v>141</v>
      </c>
      <c r="I159">
        <v>50000</v>
      </c>
      <c r="J159">
        <v>0</v>
      </c>
      <c r="K159">
        <v>0</v>
      </c>
      <c r="L159">
        <v>50000</v>
      </c>
      <c r="M159">
        <v>0</v>
      </c>
      <c r="N159" s="86" t="s">
        <v>1077</v>
      </c>
      <c r="O159" s="73" t="s">
        <v>693</v>
      </c>
      <c r="P159" s="71"/>
      <c r="Q159" s="71">
        <v>24239</v>
      </c>
      <c r="R159" s="71">
        <v>212000</v>
      </c>
      <c r="S159" s="71">
        <v>236239</v>
      </c>
    </row>
    <row r="160" spans="1:19" x14ac:dyDescent="0.3">
      <c r="A160" s="86" t="s">
        <v>1078</v>
      </c>
      <c r="B160" s="86" t="s">
        <v>47</v>
      </c>
      <c r="C160" s="86" t="s">
        <v>675</v>
      </c>
      <c r="D160" s="86" t="s">
        <v>677</v>
      </c>
      <c r="E160" s="86" t="s">
        <v>676</v>
      </c>
      <c r="F160" s="86" t="s">
        <v>47</v>
      </c>
      <c r="G160" s="86" t="s">
        <v>48</v>
      </c>
      <c r="H160" s="86" t="s">
        <v>141</v>
      </c>
      <c r="I160">
        <v>100000</v>
      </c>
      <c r="J160">
        <v>0</v>
      </c>
      <c r="K160">
        <v>0</v>
      </c>
      <c r="L160">
        <v>100000</v>
      </c>
      <c r="M160">
        <v>0</v>
      </c>
      <c r="N160" s="86" t="s">
        <v>1077</v>
      </c>
      <c r="O160" s="73" t="s">
        <v>696</v>
      </c>
      <c r="P160" s="71"/>
      <c r="Q160" s="71">
        <v>4568</v>
      </c>
      <c r="R160" s="71">
        <v>218800</v>
      </c>
      <c r="S160" s="71">
        <v>223368</v>
      </c>
    </row>
    <row r="161" spans="1:19" x14ac:dyDescent="0.3">
      <c r="A161" s="86" t="s">
        <v>1078</v>
      </c>
      <c r="B161" s="86" t="s">
        <v>47</v>
      </c>
      <c r="C161" s="86" t="s">
        <v>681</v>
      </c>
      <c r="D161" s="86" t="s">
        <v>683</v>
      </c>
      <c r="E161" s="86" t="s">
        <v>682</v>
      </c>
      <c r="F161" s="86" t="s">
        <v>47</v>
      </c>
      <c r="G161" s="86" t="s">
        <v>48</v>
      </c>
      <c r="H161" s="86" t="s">
        <v>141</v>
      </c>
      <c r="I161">
        <v>143968</v>
      </c>
      <c r="J161">
        <v>0</v>
      </c>
      <c r="K161">
        <v>9600</v>
      </c>
      <c r="L161">
        <v>134368</v>
      </c>
      <c r="M161">
        <v>0</v>
      </c>
      <c r="N161" s="86" t="s">
        <v>1077</v>
      </c>
      <c r="O161" s="73" t="s">
        <v>702</v>
      </c>
      <c r="P161" s="71"/>
      <c r="Q161" s="71"/>
      <c r="R161" s="71">
        <v>0</v>
      </c>
      <c r="S161" s="71">
        <v>0</v>
      </c>
    </row>
    <row r="162" spans="1:19" x14ac:dyDescent="0.3">
      <c r="A162" s="86" t="s">
        <v>1078</v>
      </c>
      <c r="B162" s="86" t="s">
        <v>47</v>
      </c>
      <c r="C162" s="86" t="s">
        <v>684</v>
      </c>
      <c r="D162" s="86" t="s">
        <v>686</v>
      </c>
      <c r="E162" s="86" t="s">
        <v>685</v>
      </c>
      <c r="F162" s="86" t="s">
        <v>47</v>
      </c>
      <c r="G162" s="86" t="s">
        <v>48</v>
      </c>
      <c r="H162" s="86" t="s">
        <v>141</v>
      </c>
      <c r="I162">
        <v>100000</v>
      </c>
      <c r="J162">
        <v>0</v>
      </c>
      <c r="K162">
        <v>0</v>
      </c>
      <c r="L162">
        <v>100000</v>
      </c>
      <c r="M162">
        <v>0</v>
      </c>
      <c r="N162" s="86" t="s">
        <v>1077</v>
      </c>
      <c r="O162" s="73" t="s">
        <v>705</v>
      </c>
      <c r="P162" s="71"/>
      <c r="Q162" s="71">
        <v>0</v>
      </c>
      <c r="R162" s="71">
        <v>0</v>
      </c>
      <c r="S162" s="71">
        <v>0</v>
      </c>
    </row>
    <row r="163" spans="1:19" x14ac:dyDescent="0.3">
      <c r="A163" s="86" t="s">
        <v>1078</v>
      </c>
      <c r="B163" s="86" t="s">
        <v>47</v>
      </c>
      <c r="C163" s="86" t="s">
        <v>693</v>
      </c>
      <c r="D163" s="86" t="s">
        <v>695</v>
      </c>
      <c r="E163" s="86" t="s">
        <v>694</v>
      </c>
      <c r="F163" s="86" t="s">
        <v>47</v>
      </c>
      <c r="G163" s="86" t="s">
        <v>48</v>
      </c>
      <c r="H163" s="86" t="s">
        <v>141</v>
      </c>
      <c r="I163">
        <v>212000</v>
      </c>
      <c r="J163">
        <v>0</v>
      </c>
      <c r="K163">
        <v>0</v>
      </c>
      <c r="L163">
        <v>212000</v>
      </c>
      <c r="M163">
        <v>0</v>
      </c>
      <c r="N163" s="86" t="s">
        <v>1077</v>
      </c>
      <c r="O163" s="73" t="s">
        <v>708</v>
      </c>
      <c r="P163" s="71"/>
      <c r="Q163" s="71"/>
      <c r="R163" s="71">
        <v>1044000</v>
      </c>
      <c r="S163" s="71">
        <v>1044000</v>
      </c>
    </row>
    <row r="164" spans="1:19" x14ac:dyDescent="0.3">
      <c r="A164" s="86" t="s">
        <v>1078</v>
      </c>
      <c r="B164" s="86" t="s">
        <v>47</v>
      </c>
      <c r="C164" s="86" t="s">
        <v>696</v>
      </c>
      <c r="D164" s="86" t="s">
        <v>698</v>
      </c>
      <c r="E164" s="86" t="s">
        <v>697</v>
      </c>
      <c r="F164" s="86" t="s">
        <v>47</v>
      </c>
      <c r="G164" s="86" t="s">
        <v>48</v>
      </c>
      <c r="H164" s="86" t="s">
        <v>141</v>
      </c>
      <c r="I164">
        <v>218800</v>
      </c>
      <c r="J164">
        <v>0</v>
      </c>
      <c r="K164">
        <v>0</v>
      </c>
      <c r="L164">
        <v>218800</v>
      </c>
      <c r="M164">
        <v>0</v>
      </c>
      <c r="N164" s="86" t="s">
        <v>1077</v>
      </c>
      <c r="O164" s="73" t="s">
        <v>711</v>
      </c>
      <c r="P164" s="71"/>
      <c r="Q164" s="71">
        <v>36220</v>
      </c>
      <c r="R164" s="71">
        <v>232000</v>
      </c>
      <c r="S164" s="71">
        <v>268220</v>
      </c>
    </row>
    <row r="165" spans="1:19" x14ac:dyDescent="0.3">
      <c r="A165" s="86" t="s">
        <v>1078</v>
      </c>
      <c r="B165" s="86" t="s">
        <v>47</v>
      </c>
      <c r="C165" s="86" t="s">
        <v>702</v>
      </c>
      <c r="D165" s="86" t="s">
        <v>704</v>
      </c>
      <c r="E165" s="86" t="s">
        <v>703</v>
      </c>
      <c r="F165" s="86" t="s">
        <v>47</v>
      </c>
      <c r="G165" s="86" t="s">
        <v>48</v>
      </c>
      <c r="H165" s="86" t="s">
        <v>141</v>
      </c>
      <c r="I165">
        <v>0</v>
      </c>
      <c r="J165">
        <v>0</v>
      </c>
      <c r="K165">
        <v>0</v>
      </c>
      <c r="L165">
        <v>0</v>
      </c>
      <c r="M165">
        <v>0</v>
      </c>
      <c r="N165" s="86" t="s">
        <v>1077</v>
      </c>
      <c r="O165" s="73" t="s">
        <v>714</v>
      </c>
      <c r="P165" s="71"/>
      <c r="Q165" s="71">
        <v>63110</v>
      </c>
      <c r="R165" s="71">
        <v>479000</v>
      </c>
      <c r="S165" s="71">
        <v>542110</v>
      </c>
    </row>
    <row r="166" spans="1:19" x14ac:dyDescent="0.3">
      <c r="A166" s="86" t="s">
        <v>1078</v>
      </c>
      <c r="B166" s="86" t="s">
        <v>47</v>
      </c>
      <c r="C166" s="86" t="s">
        <v>705</v>
      </c>
      <c r="D166" s="86" t="s">
        <v>707</v>
      </c>
      <c r="E166" s="86" t="s">
        <v>706</v>
      </c>
      <c r="F166" s="86" t="s">
        <v>47</v>
      </c>
      <c r="G166" s="86" t="s">
        <v>48</v>
      </c>
      <c r="H166" s="86" t="s">
        <v>141</v>
      </c>
      <c r="I166">
        <v>0</v>
      </c>
      <c r="J166">
        <v>0</v>
      </c>
      <c r="K166">
        <v>0</v>
      </c>
      <c r="L166">
        <v>0</v>
      </c>
      <c r="M166">
        <v>0</v>
      </c>
      <c r="N166" s="86" t="s">
        <v>1077</v>
      </c>
      <c r="O166" s="73" t="s">
        <v>717</v>
      </c>
      <c r="P166" s="71"/>
      <c r="Q166" s="71">
        <v>28931</v>
      </c>
      <c r="R166" s="71">
        <v>235000</v>
      </c>
      <c r="S166" s="71">
        <v>263931</v>
      </c>
    </row>
    <row r="167" spans="1:19" x14ac:dyDescent="0.3">
      <c r="A167" s="86" t="s">
        <v>1078</v>
      </c>
      <c r="B167" s="86" t="s">
        <v>47</v>
      </c>
      <c r="C167" s="86" t="s">
        <v>708</v>
      </c>
      <c r="D167" s="86" t="s">
        <v>710</v>
      </c>
      <c r="E167" s="86" t="s">
        <v>709</v>
      </c>
      <c r="F167" s="86" t="s">
        <v>47</v>
      </c>
      <c r="G167" s="86" t="s">
        <v>48</v>
      </c>
      <c r="H167" s="86" t="s">
        <v>141</v>
      </c>
      <c r="I167">
        <v>1044000</v>
      </c>
      <c r="J167">
        <v>0</v>
      </c>
      <c r="K167">
        <v>0</v>
      </c>
      <c r="L167">
        <v>1044000</v>
      </c>
      <c r="M167">
        <v>0</v>
      </c>
      <c r="N167" s="86" t="s">
        <v>1077</v>
      </c>
      <c r="O167" s="73" t="s">
        <v>723</v>
      </c>
      <c r="P167" s="71"/>
      <c r="Q167" s="71"/>
      <c r="R167" s="71">
        <v>0</v>
      </c>
      <c r="S167" s="71">
        <v>0</v>
      </c>
    </row>
    <row r="168" spans="1:19" x14ac:dyDescent="0.3">
      <c r="A168" s="86" t="s">
        <v>1078</v>
      </c>
      <c r="B168" s="86" t="s">
        <v>47</v>
      </c>
      <c r="C168" s="86" t="s">
        <v>711</v>
      </c>
      <c r="D168" s="86" t="s">
        <v>713</v>
      </c>
      <c r="E168" s="86" t="s">
        <v>712</v>
      </c>
      <c r="F168" s="86" t="s">
        <v>47</v>
      </c>
      <c r="G168" s="86" t="s">
        <v>48</v>
      </c>
      <c r="H168" s="86" t="s">
        <v>141</v>
      </c>
      <c r="I168">
        <v>232000</v>
      </c>
      <c r="J168">
        <v>0</v>
      </c>
      <c r="K168">
        <v>0</v>
      </c>
      <c r="L168">
        <v>232000</v>
      </c>
      <c r="M168">
        <v>0</v>
      </c>
      <c r="N168" s="86" t="s">
        <v>1077</v>
      </c>
      <c r="O168" s="73" t="s">
        <v>729</v>
      </c>
      <c r="P168" s="71"/>
      <c r="Q168" s="71">
        <v>81242</v>
      </c>
      <c r="R168" s="71">
        <v>1279000</v>
      </c>
      <c r="S168" s="71">
        <v>1360242</v>
      </c>
    </row>
    <row r="169" spans="1:19" x14ac:dyDescent="0.3">
      <c r="A169" s="86" t="s">
        <v>1078</v>
      </c>
      <c r="B169" s="86" t="s">
        <v>47</v>
      </c>
      <c r="C169" s="86" t="s">
        <v>714</v>
      </c>
      <c r="D169" s="86" t="s">
        <v>716</v>
      </c>
      <c r="E169" s="86" t="s">
        <v>715</v>
      </c>
      <c r="F169" s="86" t="s">
        <v>47</v>
      </c>
      <c r="G169" s="86" t="s">
        <v>48</v>
      </c>
      <c r="H169" s="86" t="s">
        <v>141</v>
      </c>
      <c r="I169">
        <v>479000</v>
      </c>
      <c r="J169">
        <v>0</v>
      </c>
      <c r="K169">
        <v>0</v>
      </c>
      <c r="L169">
        <v>479000</v>
      </c>
      <c r="M169">
        <v>0</v>
      </c>
      <c r="N169" s="86" t="s">
        <v>1077</v>
      </c>
      <c r="O169" s="73" t="s">
        <v>738</v>
      </c>
      <c r="P169" s="71"/>
      <c r="Q169" s="71">
        <v>19689</v>
      </c>
      <c r="R169" s="71">
        <v>249000</v>
      </c>
      <c r="S169" s="71">
        <v>268689</v>
      </c>
    </row>
    <row r="170" spans="1:19" x14ac:dyDescent="0.3">
      <c r="A170" s="86" t="s">
        <v>1078</v>
      </c>
      <c r="B170" s="86" t="s">
        <v>47</v>
      </c>
      <c r="C170" s="86" t="s">
        <v>717</v>
      </c>
      <c r="D170" s="86" t="s">
        <v>719</v>
      </c>
      <c r="E170" s="86" t="s">
        <v>718</v>
      </c>
      <c r="F170" s="86" t="s">
        <v>47</v>
      </c>
      <c r="G170" s="86" t="s">
        <v>48</v>
      </c>
      <c r="H170" s="86" t="s">
        <v>141</v>
      </c>
      <c r="I170">
        <v>235000</v>
      </c>
      <c r="J170">
        <v>0</v>
      </c>
      <c r="K170">
        <v>0</v>
      </c>
      <c r="L170">
        <v>235000</v>
      </c>
      <c r="M170">
        <v>0</v>
      </c>
      <c r="N170" s="86" t="s">
        <v>1077</v>
      </c>
      <c r="O170" s="73" t="s">
        <v>747</v>
      </c>
      <c r="P170" s="71"/>
      <c r="Q170" s="71">
        <v>35259</v>
      </c>
      <c r="R170" s="71">
        <v>431000</v>
      </c>
      <c r="S170" s="71">
        <v>466259</v>
      </c>
    </row>
    <row r="171" spans="1:19" x14ac:dyDescent="0.3">
      <c r="A171" s="86" t="s">
        <v>1078</v>
      </c>
      <c r="B171" s="86" t="s">
        <v>47</v>
      </c>
      <c r="C171" s="86" t="s">
        <v>723</v>
      </c>
      <c r="D171" s="86" t="s">
        <v>725</v>
      </c>
      <c r="E171" s="86" t="s">
        <v>724</v>
      </c>
      <c r="F171" s="86" t="s">
        <v>47</v>
      </c>
      <c r="G171" s="86" t="s">
        <v>48</v>
      </c>
      <c r="H171" s="86" t="s">
        <v>141</v>
      </c>
      <c r="I171">
        <v>0</v>
      </c>
      <c r="J171">
        <v>0</v>
      </c>
      <c r="K171">
        <v>0</v>
      </c>
      <c r="L171">
        <v>0</v>
      </c>
      <c r="M171">
        <v>0</v>
      </c>
      <c r="N171" s="86" t="s">
        <v>1077</v>
      </c>
      <c r="O171" s="73" t="s">
        <v>750</v>
      </c>
      <c r="P171" s="71"/>
      <c r="Q171" s="71">
        <v>49511</v>
      </c>
      <c r="R171" s="71">
        <v>144000</v>
      </c>
      <c r="S171" s="71">
        <v>193511</v>
      </c>
    </row>
    <row r="172" spans="1:19" x14ac:dyDescent="0.3">
      <c r="A172" s="86" t="s">
        <v>1078</v>
      </c>
      <c r="B172" s="86" t="s">
        <v>47</v>
      </c>
      <c r="C172" s="86" t="s">
        <v>729</v>
      </c>
      <c r="D172" s="86" t="s">
        <v>731</v>
      </c>
      <c r="E172" s="86" t="s">
        <v>730</v>
      </c>
      <c r="F172" s="86" t="s">
        <v>47</v>
      </c>
      <c r="G172" s="86" t="s">
        <v>48</v>
      </c>
      <c r="H172" s="86" t="s">
        <v>141</v>
      </c>
      <c r="I172">
        <v>1279000</v>
      </c>
      <c r="J172">
        <v>0</v>
      </c>
      <c r="K172">
        <v>0</v>
      </c>
      <c r="L172">
        <v>1279000</v>
      </c>
      <c r="M172">
        <v>0</v>
      </c>
      <c r="N172" s="86" t="s">
        <v>1077</v>
      </c>
      <c r="O172" s="73" t="s">
        <v>753</v>
      </c>
      <c r="P172" s="71"/>
      <c r="Q172" s="71">
        <v>0</v>
      </c>
      <c r="R172" s="71">
        <v>0</v>
      </c>
      <c r="S172" s="71">
        <v>0</v>
      </c>
    </row>
    <row r="173" spans="1:19" x14ac:dyDescent="0.3">
      <c r="A173" s="86" t="s">
        <v>1078</v>
      </c>
      <c r="B173" s="86" t="s">
        <v>47</v>
      </c>
      <c r="C173" s="86" t="s">
        <v>738</v>
      </c>
      <c r="D173" s="86" t="s">
        <v>740</v>
      </c>
      <c r="E173" s="86" t="s">
        <v>739</v>
      </c>
      <c r="F173" s="86" t="s">
        <v>47</v>
      </c>
      <c r="G173" s="86" t="s">
        <v>48</v>
      </c>
      <c r="H173" s="86" t="s">
        <v>141</v>
      </c>
      <c r="I173">
        <v>249000</v>
      </c>
      <c r="J173">
        <v>0</v>
      </c>
      <c r="K173">
        <v>0</v>
      </c>
      <c r="L173">
        <v>249000</v>
      </c>
      <c r="M173">
        <v>0</v>
      </c>
      <c r="N173" s="86" t="s">
        <v>1077</v>
      </c>
      <c r="O173" s="73" t="s">
        <v>756</v>
      </c>
      <c r="P173" s="71"/>
      <c r="Q173" s="71">
        <v>94230</v>
      </c>
      <c r="R173" s="71">
        <v>0</v>
      </c>
      <c r="S173" s="71">
        <v>94230</v>
      </c>
    </row>
    <row r="174" spans="1:19" x14ac:dyDescent="0.3">
      <c r="A174" s="86" t="s">
        <v>1078</v>
      </c>
      <c r="B174" s="86" t="s">
        <v>47</v>
      </c>
      <c r="C174" s="86" t="s">
        <v>747</v>
      </c>
      <c r="D174" s="86" t="s">
        <v>749</v>
      </c>
      <c r="E174" s="86" t="s">
        <v>748</v>
      </c>
      <c r="F174" s="86" t="s">
        <v>47</v>
      </c>
      <c r="G174" s="86" t="s">
        <v>48</v>
      </c>
      <c r="H174" s="86" t="s">
        <v>141</v>
      </c>
      <c r="I174">
        <v>431000</v>
      </c>
      <c r="J174">
        <v>0</v>
      </c>
      <c r="K174">
        <v>0</v>
      </c>
      <c r="L174">
        <v>431000</v>
      </c>
      <c r="M174">
        <v>0</v>
      </c>
      <c r="N174" s="86" t="s">
        <v>1077</v>
      </c>
      <c r="O174" s="73" t="s">
        <v>759</v>
      </c>
      <c r="P174" s="71"/>
      <c r="Q174" s="71">
        <v>4599</v>
      </c>
      <c r="R174" s="71">
        <v>131000</v>
      </c>
      <c r="S174" s="71">
        <v>135599</v>
      </c>
    </row>
    <row r="175" spans="1:19" x14ac:dyDescent="0.3">
      <c r="A175" s="86" t="s">
        <v>1078</v>
      </c>
      <c r="B175" s="86" t="s">
        <v>47</v>
      </c>
      <c r="C175" s="86" t="s">
        <v>750</v>
      </c>
      <c r="D175" s="86" t="s">
        <v>752</v>
      </c>
      <c r="E175" s="86" t="s">
        <v>751</v>
      </c>
      <c r="F175" s="86" t="s">
        <v>47</v>
      </c>
      <c r="G175" s="86" t="s">
        <v>48</v>
      </c>
      <c r="H175" s="86" t="s">
        <v>141</v>
      </c>
      <c r="I175">
        <v>192000</v>
      </c>
      <c r="J175">
        <v>0</v>
      </c>
      <c r="K175">
        <v>48000</v>
      </c>
      <c r="L175">
        <v>144000</v>
      </c>
      <c r="M175">
        <v>0</v>
      </c>
      <c r="N175" s="86" t="s">
        <v>1077</v>
      </c>
      <c r="O175" s="73" t="s">
        <v>762</v>
      </c>
      <c r="P175" s="71"/>
      <c r="Q175" s="71">
        <v>42916</v>
      </c>
      <c r="R175" s="71">
        <v>208000</v>
      </c>
      <c r="S175" s="71">
        <v>250916</v>
      </c>
    </row>
    <row r="176" spans="1:19" x14ac:dyDescent="0.3">
      <c r="A176" s="86" t="s">
        <v>1078</v>
      </c>
      <c r="B176" s="86" t="s">
        <v>47</v>
      </c>
      <c r="C176" s="86" t="s">
        <v>753</v>
      </c>
      <c r="D176" s="86" t="s">
        <v>755</v>
      </c>
      <c r="E176" s="86" t="s">
        <v>754</v>
      </c>
      <c r="F176" s="86" t="s">
        <v>47</v>
      </c>
      <c r="G176" s="86" t="s">
        <v>48</v>
      </c>
      <c r="H176" s="86" t="s">
        <v>141</v>
      </c>
      <c r="I176">
        <v>0</v>
      </c>
      <c r="J176">
        <v>0</v>
      </c>
      <c r="K176">
        <v>0</v>
      </c>
      <c r="L176">
        <v>0</v>
      </c>
      <c r="M176">
        <v>0</v>
      </c>
      <c r="N176" s="86" t="s">
        <v>1077</v>
      </c>
      <c r="O176" s="73" t="s">
        <v>768</v>
      </c>
      <c r="P176" s="71"/>
      <c r="Q176" s="71">
        <v>99587</v>
      </c>
      <c r="R176" s="71">
        <v>96000</v>
      </c>
      <c r="S176" s="71">
        <v>195587</v>
      </c>
    </row>
    <row r="177" spans="1:19" x14ac:dyDescent="0.3">
      <c r="A177" s="86" t="s">
        <v>1078</v>
      </c>
      <c r="B177" s="86" t="s">
        <v>47</v>
      </c>
      <c r="C177" s="86" t="s">
        <v>756</v>
      </c>
      <c r="D177" s="86" t="s">
        <v>758</v>
      </c>
      <c r="E177" s="86" t="s">
        <v>757</v>
      </c>
      <c r="F177" s="86" t="s">
        <v>47</v>
      </c>
      <c r="G177" s="86" t="s">
        <v>48</v>
      </c>
      <c r="H177" s="86" t="s">
        <v>141</v>
      </c>
      <c r="I177">
        <v>0</v>
      </c>
      <c r="J177">
        <v>0</v>
      </c>
      <c r="K177">
        <v>0</v>
      </c>
      <c r="L177">
        <v>0</v>
      </c>
      <c r="M177">
        <v>0</v>
      </c>
      <c r="N177" s="86" t="s">
        <v>1077</v>
      </c>
      <c r="O177" s="73" t="s">
        <v>774</v>
      </c>
      <c r="P177" s="71">
        <v>33785</v>
      </c>
      <c r="Q177" s="71"/>
      <c r="R177" s="71">
        <v>0</v>
      </c>
      <c r="S177" s="71">
        <v>33785</v>
      </c>
    </row>
    <row r="178" spans="1:19" x14ac:dyDescent="0.3">
      <c r="A178" s="86" t="s">
        <v>1078</v>
      </c>
      <c r="B178" s="86" t="s">
        <v>47</v>
      </c>
      <c r="C178" s="86" t="s">
        <v>759</v>
      </c>
      <c r="D178" s="86" t="s">
        <v>761</v>
      </c>
      <c r="E178" s="86" t="s">
        <v>760</v>
      </c>
      <c r="F178" s="86" t="s">
        <v>47</v>
      </c>
      <c r="G178" s="86" t="s">
        <v>48</v>
      </c>
      <c r="H178" s="86" t="s">
        <v>141</v>
      </c>
      <c r="I178">
        <v>131000</v>
      </c>
      <c r="J178">
        <v>0</v>
      </c>
      <c r="K178">
        <v>0</v>
      </c>
      <c r="L178">
        <v>131000</v>
      </c>
      <c r="M178">
        <v>0</v>
      </c>
      <c r="N178" s="86" t="s">
        <v>1077</v>
      </c>
      <c r="O178" s="73" t="s">
        <v>780</v>
      </c>
      <c r="P178" s="71">
        <v>8239</v>
      </c>
      <c r="Q178" s="71"/>
      <c r="R178" s="71">
        <v>74925</v>
      </c>
      <c r="S178" s="71">
        <v>83164</v>
      </c>
    </row>
    <row r="179" spans="1:19" x14ac:dyDescent="0.3">
      <c r="A179" s="86" t="s">
        <v>1078</v>
      </c>
      <c r="B179" s="86" t="s">
        <v>47</v>
      </c>
      <c r="C179" s="86" t="s">
        <v>762</v>
      </c>
      <c r="D179" s="86" t="s">
        <v>764</v>
      </c>
      <c r="E179" s="86" t="s">
        <v>763</v>
      </c>
      <c r="F179" s="86" t="s">
        <v>47</v>
      </c>
      <c r="G179" s="86" t="s">
        <v>48</v>
      </c>
      <c r="H179" s="86" t="s">
        <v>141</v>
      </c>
      <c r="I179">
        <v>208000</v>
      </c>
      <c r="J179">
        <v>0</v>
      </c>
      <c r="K179">
        <v>0</v>
      </c>
      <c r="L179">
        <v>208000</v>
      </c>
      <c r="M179">
        <v>0</v>
      </c>
      <c r="N179" s="86" t="s">
        <v>1077</v>
      </c>
      <c r="O179" s="73" t="s">
        <v>783</v>
      </c>
      <c r="P179" s="71"/>
      <c r="Q179" s="71"/>
      <c r="R179" s="71">
        <v>194000</v>
      </c>
      <c r="S179" s="71">
        <v>194000</v>
      </c>
    </row>
    <row r="180" spans="1:19" x14ac:dyDescent="0.3">
      <c r="A180" s="86" t="s">
        <v>1078</v>
      </c>
      <c r="B180" s="86" t="s">
        <v>47</v>
      </c>
      <c r="C180" s="86" t="s">
        <v>768</v>
      </c>
      <c r="D180" s="86" t="s">
        <v>770</v>
      </c>
      <c r="E180" s="86" t="s">
        <v>769</v>
      </c>
      <c r="F180" s="86" t="s">
        <v>47</v>
      </c>
      <c r="G180" s="86" t="s">
        <v>48</v>
      </c>
      <c r="H180" s="86" t="s">
        <v>141</v>
      </c>
      <c r="I180">
        <v>96000</v>
      </c>
      <c r="J180">
        <v>0</v>
      </c>
      <c r="K180">
        <v>0</v>
      </c>
      <c r="L180">
        <v>96000</v>
      </c>
      <c r="M180">
        <v>0</v>
      </c>
      <c r="N180" s="86" t="s">
        <v>1077</v>
      </c>
      <c r="O180" s="73" t="s">
        <v>786</v>
      </c>
      <c r="P180" s="71"/>
      <c r="Q180" s="71">
        <v>44363</v>
      </c>
      <c r="R180" s="71">
        <v>0</v>
      </c>
      <c r="S180" s="71">
        <v>44363</v>
      </c>
    </row>
    <row r="181" spans="1:19" x14ac:dyDescent="0.3">
      <c r="A181" s="86" t="s">
        <v>1078</v>
      </c>
      <c r="B181" s="86" t="s">
        <v>47</v>
      </c>
      <c r="C181" s="86" t="s">
        <v>774</v>
      </c>
      <c r="D181" s="86" t="s">
        <v>776</v>
      </c>
      <c r="E181" s="86" t="s">
        <v>775</v>
      </c>
      <c r="F181" s="86" t="s">
        <v>47</v>
      </c>
      <c r="G181" s="86" t="s">
        <v>48</v>
      </c>
      <c r="H181" s="86" t="s">
        <v>141</v>
      </c>
      <c r="I181">
        <v>0</v>
      </c>
      <c r="J181">
        <v>0</v>
      </c>
      <c r="K181">
        <v>0</v>
      </c>
      <c r="L181">
        <v>0</v>
      </c>
      <c r="M181">
        <v>0</v>
      </c>
      <c r="N181" s="86" t="s">
        <v>1077</v>
      </c>
      <c r="O181" s="73" t="s">
        <v>789</v>
      </c>
      <c r="P181" s="71"/>
      <c r="Q181" s="71">
        <v>54354</v>
      </c>
      <c r="R181" s="71">
        <v>0</v>
      </c>
      <c r="S181" s="71">
        <v>54354</v>
      </c>
    </row>
    <row r="182" spans="1:19" x14ac:dyDescent="0.3">
      <c r="A182" s="86" t="s">
        <v>1078</v>
      </c>
      <c r="B182" s="86" t="s">
        <v>47</v>
      </c>
      <c r="C182" s="86" t="s">
        <v>780</v>
      </c>
      <c r="D182" s="86" t="s">
        <v>782</v>
      </c>
      <c r="E182" s="86" t="s">
        <v>781</v>
      </c>
      <c r="F182" s="86" t="s">
        <v>47</v>
      </c>
      <c r="G182" s="86" t="s">
        <v>48</v>
      </c>
      <c r="H182" s="86" t="s">
        <v>141</v>
      </c>
      <c r="I182">
        <v>74925</v>
      </c>
      <c r="J182">
        <v>0</v>
      </c>
      <c r="K182">
        <v>0</v>
      </c>
      <c r="L182">
        <v>74925</v>
      </c>
      <c r="M182">
        <v>0</v>
      </c>
      <c r="N182" s="86" t="s">
        <v>1077</v>
      </c>
      <c r="O182" s="73" t="s">
        <v>795</v>
      </c>
      <c r="P182" s="71"/>
      <c r="Q182" s="71">
        <v>21886</v>
      </c>
      <c r="R182" s="71">
        <v>28800</v>
      </c>
      <c r="S182" s="71">
        <v>50686</v>
      </c>
    </row>
    <row r="183" spans="1:19" x14ac:dyDescent="0.3">
      <c r="A183" s="86" t="s">
        <v>1078</v>
      </c>
      <c r="B183" s="86" t="s">
        <v>47</v>
      </c>
      <c r="C183" s="86" t="s">
        <v>783</v>
      </c>
      <c r="D183" s="86" t="s">
        <v>785</v>
      </c>
      <c r="E183" s="86" t="s">
        <v>784</v>
      </c>
      <c r="F183" s="86" t="s">
        <v>47</v>
      </c>
      <c r="G183" s="86" t="s">
        <v>48</v>
      </c>
      <c r="H183" s="86" t="s">
        <v>141</v>
      </c>
      <c r="I183">
        <v>194000</v>
      </c>
      <c r="J183">
        <v>0</v>
      </c>
      <c r="K183">
        <v>0</v>
      </c>
      <c r="L183">
        <v>194000</v>
      </c>
      <c r="M183">
        <v>0</v>
      </c>
      <c r="N183" s="86" t="s">
        <v>1077</v>
      </c>
      <c r="O183" s="73" t="s">
        <v>801</v>
      </c>
      <c r="P183" s="71"/>
      <c r="Q183" s="71"/>
      <c r="R183" s="71">
        <v>192000</v>
      </c>
      <c r="S183" s="71">
        <v>192000</v>
      </c>
    </row>
    <row r="184" spans="1:19" x14ac:dyDescent="0.3">
      <c r="A184" s="86" t="s">
        <v>1078</v>
      </c>
      <c r="B184" s="86" t="s">
        <v>47</v>
      </c>
      <c r="C184" s="86" t="s">
        <v>786</v>
      </c>
      <c r="D184" s="86" t="s">
        <v>788</v>
      </c>
      <c r="E184" s="86" t="s">
        <v>787</v>
      </c>
      <c r="F184" s="86" t="s">
        <v>47</v>
      </c>
      <c r="G184" s="86" t="s">
        <v>48</v>
      </c>
      <c r="H184" s="86" t="s">
        <v>141</v>
      </c>
      <c r="I184">
        <v>0</v>
      </c>
      <c r="J184">
        <v>0</v>
      </c>
      <c r="K184">
        <v>0</v>
      </c>
      <c r="L184">
        <v>0</v>
      </c>
      <c r="M184">
        <v>0</v>
      </c>
      <c r="N184" s="86" t="s">
        <v>1077</v>
      </c>
      <c r="O184" s="73" t="s">
        <v>804</v>
      </c>
      <c r="P184" s="71"/>
      <c r="Q184" s="71">
        <v>30000</v>
      </c>
      <c r="R184" s="71">
        <v>241000</v>
      </c>
      <c r="S184" s="71">
        <v>271000</v>
      </c>
    </row>
    <row r="185" spans="1:19" x14ac:dyDescent="0.3">
      <c r="A185" s="86" t="s">
        <v>1078</v>
      </c>
      <c r="B185" s="86" t="s">
        <v>47</v>
      </c>
      <c r="C185" s="86" t="s">
        <v>789</v>
      </c>
      <c r="D185" s="86" t="s">
        <v>791</v>
      </c>
      <c r="E185" s="86" t="s">
        <v>790</v>
      </c>
      <c r="F185" s="86" t="s">
        <v>47</v>
      </c>
      <c r="G185" s="86" t="s">
        <v>48</v>
      </c>
      <c r="H185" s="86" t="s">
        <v>141</v>
      </c>
      <c r="I185">
        <v>0</v>
      </c>
      <c r="J185">
        <v>0</v>
      </c>
      <c r="K185">
        <v>0</v>
      </c>
      <c r="L185">
        <v>0</v>
      </c>
      <c r="M185">
        <v>0</v>
      </c>
      <c r="N185" s="86" t="s">
        <v>1077</v>
      </c>
      <c r="O185" s="73" t="s">
        <v>807</v>
      </c>
      <c r="P185" s="71"/>
      <c r="Q185" s="71">
        <v>260147</v>
      </c>
      <c r="R185" s="71">
        <v>459000</v>
      </c>
      <c r="S185" s="71">
        <v>719147</v>
      </c>
    </row>
    <row r="186" spans="1:19" x14ac:dyDescent="0.3">
      <c r="A186" s="86" t="s">
        <v>1078</v>
      </c>
      <c r="B186" s="86" t="s">
        <v>47</v>
      </c>
      <c r="C186" s="86" t="s">
        <v>795</v>
      </c>
      <c r="D186" s="86" t="s">
        <v>797</v>
      </c>
      <c r="E186" s="86" t="s">
        <v>796</v>
      </c>
      <c r="F186" s="86" t="s">
        <v>47</v>
      </c>
      <c r="G186" s="86" t="s">
        <v>48</v>
      </c>
      <c r="H186" s="86" t="s">
        <v>141</v>
      </c>
      <c r="I186">
        <v>28800</v>
      </c>
      <c r="J186">
        <v>0</v>
      </c>
      <c r="K186">
        <v>0</v>
      </c>
      <c r="L186">
        <v>28800</v>
      </c>
      <c r="M186">
        <v>0</v>
      </c>
      <c r="N186" s="86" t="s">
        <v>1077</v>
      </c>
      <c r="O186" s="73" t="s">
        <v>813</v>
      </c>
      <c r="P186" s="71"/>
      <c r="Q186" s="71"/>
      <c r="R186" s="71">
        <v>0</v>
      </c>
      <c r="S186" s="71">
        <v>0</v>
      </c>
    </row>
    <row r="187" spans="1:19" x14ac:dyDescent="0.3">
      <c r="A187" s="86" t="s">
        <v>1078</v>
      </c>
      <c r="B187" s="86" t="s">
        <v>47</v>
      </c>
      <c r="C187" s="86" t="s">
        <v>801</v>
      </c>
      <c r="D187" s="86" t="s">
        <v>803</v>
      </c>
      <c r="E187" s="86" t="s">
        <v>802</v>
      </c>
      <c r="F187" s="86" t="s">
        <v>47</v>
      </c>
      <c r="G187" s="86" t="s">
        <v>48</v>
      </c>
      <c r="H187" s="86" t="s">
        <v>141</v>
      </c>
      <c r="I187">
        <v>192000</v>
      </c>
      <c r="J187">
        <v>0</v>
      </c>
      <c r="K187">
        <v>0</v>
      </c>
      <c r="L187">
        <v>192000</v>
      </c>
      <c r="M187">
        <v>0</v>
      </c>
      <c r="N187" s="86" t="s">
        <v>1077</v>
      </c>
      <c r="O187" s="73" t="s">
        <v>816</v>
      </c>
      <c r="P187" s="71"/>
      <c r="Q187" s="71">
        <v>82274</v>
      </c>
      <c r="R187" s="71">
        <v>138000</v>
      </c>
      <c r="S187" s="71">
        <v>220274</v>
      </c>
    </row>
    <row r="188" spans="1:19" x14ac:dyDescent="0.3">
      <c r="A188" s="86" t="s">
        <v>1078</v>
      </c>
      <c r="B188" s="86" t="s">
        <v>47</v>
      </c>
      <c r="C188" s="86" t="s">
        <v>804</v>
      </c>
      <c r="D188" s="86" t="s">
        <v>806</v>
      </c>
      <c r="E188" s="86" t="s">
        <v>805</v>
      </c>
      <c r="F188" s="86" t="s">
        <v>47</v>
      </c>
      <c r="G188" s="86" t="s">
        <v>48</v>
      </c>
      <c r="H188" s="86" t="s">
        <v>141</v>
      </c>
      <c r="I188">
        <v>241000</v>
      </c>
      <c r="J188">
        <v>0</v>
      </c>
      <c r="K188">
        <v>0</v>
      </c>
      <c r="L188">
        <v>241000</v>
      </c>
      <c r="M188">
        <v>0</v>
      </c>
      <c r="N188" s="86" t="s">
        <v>1077</v>
      </c>
      <c r="O188" s="73" t="s">
        <v>819</v>
      </c>
      <c r="P188" s="71">
        <v>6892</v>
      </c>
      <c r="Q188" s="71"/>
      <c r="R188" s="71">
        <v>201600</v>
      </c>
      <c r="S188" s="71">
        <v>208492</v>
      </c>
    </row>
    <row r="189" spans="1:19" x14ac:dyDescent="0.3">
      <c r="A189" s="86" t="s">
        <v>1078</v>
      </c>
      <c r="B189" s="86" t="s">
        <v>47</v>
      </c>
      <c r="C189" s="86" t="s">
        <v>807</v>
      </c>
      <c r="D189" s="86" t="s">
        <v>809</v>
      </c>
      <c r="E189" s="86" t="s">
        <v>808</v>
      </c>
      <c r="F189" s="86" t="s">
        <v>47</v>
      </c>
      <c r="G189" s="86" t="s">
        <v>48</v>
      </c>
      <c r="H189" s="86" t="s">
        <v>141</v>
      </c>
      <c r="I189">
        <v>459000</v>
      </c>
      <c r="J189">
        <v>0</v>
      </c>
      <c r="K189">
        <v>0</v>
      </c>
      <c r="L189">
        <v>459000</v>
      </c>
      <c r="M189">
        <v>0</v>
      </c>
      <c r="N189" s="86" t="s">
        <v>1077</v>
      </c>
      <c r="O189" s="73" t="s">
        <v>822</v>
      </c>
      <c r="P189" s="71">
        <v>14958</v>
      </c>
      <c r="Q189" s="71"/>
      <c r="R189" s="71">
        <v>119238</v>
      </c>
      <c r="S189" s="71">
        <v>134196</v>
      </c>
    </row>
    <row r="190" spans="1:19" x14ac:dyDescent="0.3">
      <c r="A190" s="86" t="s">
        <v>1078</v>
      </c>
      <c r="B190" s="86" t="s">
        <v>47</v>
      </c>
      <c r="C190" s="86" t="s">
        <v>813</v>
      </c>
      <c r="D190" s="86" t="s">
        <v>815</v>
      </c>
      <c r="E190" s="86" t="s">
        <v>814</v>
      </c>
      <c r="F190" s="86" t="s">
        <v>47</v>
      </c>
      <c r="G190" s="86" t="s">
        <v>48</v>
      </c>
      <c r="H190" s="86" t="s">
        <v>141</v>
      </c>
      <c r="I190">
        <v>0</v>
      </c>
      <c r="J190">
        <v>0</v>
      </c>
      <c r="K190">
        <v>0</v>
      </c>
      <c r="L190">
        <v>0</v>
      </c>
      <c r="M190">
        <v>0</v>
      </c>
      <c r="N190" s="86" t="s">
        <v>1077</v>
      </c>
      <c r="O190" s="73" t="s">
        <v>834</v>
      </c>
      <c r="P190" s="71">
        <v>40733</v>
      </c>
      <c r="Q190" s="71"/>
      <c r="R190" s="71">
        <v>163200</v>
      </c>
      <c r="S190" s="71">
        <v>203933</v>
      </c>
    </row>
    <row r="191" spans="1:19" x14ac:dyDescent="0.3">
      <c r="A191" s="86" t="s">
        <v>1078</v>
      </c>
      <c r="B191" s="86" t="s">
        <v>47</v>
      </c>
      <c r="C191" s="86" t="s">
        <v>816</v>
      </c>
      <c r="D191" s="86" t="s">
        <v>818</v>
      </c>
      <c r="E191" s="86" t="s">
        <v>817</v>
      </c>
      <c r="F191" s="86" t="s">
        <v>47</v>
      </c>
      <c r="G191" s="86" t="s">
        <v>48</v>
      </c>
      <c r="H191" s="86" t="s">
        <v>141</v>
      </c>
      <c r="I191">
        <v>138000</v>
      </c>
      <c r="J191">
        <v>0</v>
      </c>
      <c r="K191">
        <v>0</v>
      </c>
      <c r="L191">
        <v>138000</v>
      </c>
      <c r="M191">
        <v>0</v>
      </c>
      <c r="N191" s="86" t="s">
        <v>1077</v>
      </c>
      <c r="O191" s="73" t="s">
        <v>837</v>
      </c>
      <c r="P191" s="71">
        <v>4047</v>
      </c>
      <c r="Q191" s="71"/>
      <c r="R191" s="71">
        <v>142370</v>
      </c>
      <c r="S191" s="71">
        <v>146417</v>
      </c>
    </row>
    <row r="192" spans="1:19" x14ac:dyDescent="0.3">
      <c r="A192" s="86" t="s">
        <v>1078</v>
      </c>
      <c r="B192" s="86" t="s">
        <v>47</v>
      </c>
      <c r="C192" s="86" t="s">
        <v>819</v>
      </c>
      <c r="D192" s="86" t="s">
        <v>821</v>
      </c>
      <c r="E192" s="86" t="s">
        <v>820</v>
      </c>
      <c r="F192" s="86" t="s">
        <v>47</v>
      </c>
      <c r="G192" s="86" t="s">
        <v>48</v>
      </c>
      <c r="H192" s="86" t="s">
        <v>141</v>
      </c>
      <c r="I192">
        <v>0</v>
      </c>
      <c r="J192">
        <v>201600</v>
      </c>
      <c r="K192">
        <v>0</v>
      </c>
      <c r="L192">
        <v>201600</v>
      </c>
      <c r="M192">
        <v>0</v>
      </c>
      <c r="N192" s="86" t="s">
        <v>1077</v>
      </c>
      <c r="O192" s="73" t="s">
        <v>840</v>
      </c>
      <c r="P192" s="71">
        <v>17286</v>
      </c>
      <c r="Q192" s="71"/>
      <c r="R192" s="71">
        <v>137863</v>
      </c>
      <c r="S192" s="71">
        <v>155149</v>
      </c>
    </row>
    <row r="193" spans="1:19" x14ac:dyDescent="0.3">
      <c r="A193" s="86" t="s">
        <v>1078</v>
      </c>
      <c r="B193" s="86" t="s">
        <v>47</v>
      </c>
      <c r="C193" s="86" t="s">
        <v>822</v>
      </c>
      <c r="D193" s="86" t="s">
        <v>824</v>
      </c>
      <c r="E193" s="86" t="s">
        <v>823</v>
      </c>
      <c r="F193" s="86" t="s">
        <v>47</v>
      </c>
      <c r="G193" s="86" t="s">
        <v>48</v>
      </c>
      <c r="H193" s="86" t="s">
        <v>141</v>
      </c>
      <c r="I193">
        <v>138438</v>
      </c>
      <c r="J193">
        <v>0</v>
      </c>
      <c r="K193">
        <v>19200</v>
      </c>
      <c r="L193">
        <v>119238</v>
      </c>
      <c r="M193">
        <v>0</v>
      </c>
      <c r="N193" s="86" t="s">
        <v>1077</v>
      </c>
      <c r="O193" s="73" t="s">
        <v>843</v>
      </c>
      <c r="P193" s="71"/>
      <c r="Q193" s="71">
        <v>45913</v>
      </c>
      <c r="R193" s="71">
        <v>192000</v>
      </c>
      <c r="S193" s="71">
        <v>237913</v>
      </c>
    </row>
    <row r="194" spans="1:19" x14ac:dyDescent="0.3">
      <c r="A194" s="86" t="s">
        <v>1078</v>
      </c>
      <c r="B194" s="86" t="s">
        <v>47</v>
      </c>
      <c r="C194" s="86" t="s">
        <v>834</v>
      </c>
      <c r="D194" s="86" t="s">
        <v>836</v>
      </c>
      <c r="E194" s="86" t="s">
        <v>835</v>
      </c>
      <c r="F194" s="86" t="s">
        <v>47</v>
      </c>
      <c r="G194" s="86" t="s">
        <v>48</v>
      </c>
      <c r="H194" s="86" t="s">
        <v>141</v>
      </c>
      <c r="I194">
        <v>16667</v>
      </c>
      <c r="J194">
        <v>288000</v>
      </c>
      <c r="K194">
        <v>141467</v>
      </c>
      <c r="L194">
        <v>163200</v>
      </c>
      <c r="M194">
        <v>0</v>
      </c>
      <c r="N194" s="86" t="s">
        <v>1077</v>
      </c>
      <c r="O194" s="73" t="s">
        <v>846</v>
      </c>
      <c r="P194" s="71">
        <v>3082</v>
      </c>
      <c r="Q194" s="71"/>
      <c r="R194" s="71">
        <v>66550</v>
      </c>
      <c r="S194" s="71">
        <v>69632</v>
      </c>
    </row>
    <row r="195" spans="1:19" x14ac:dyDescent="0.3">
      <c r="A195" s="86" t="s">
        <v>1078</v>
      </c>
      <c r="B195" s="86" t="s">
        <v>47</v>
      </c>
      <c r="C195" s="86" t="s">
        <v>837</v>
      </c>
      <c r="D195" s="86" t="s">
        <v>839</v>
      </c>
      <c r="E195" s="86" t="s">
        <v>838</v>
      </c>
      <c r="F195" s="86" t="s">
        <v>47</v>
      </c>
      <c r="G195" s="86" t="s">
        <v>48</v>
      </c>
      <c r="H195" s="86" t="s">
        <v>141</v>
      </c>
      <c r="I195">
        <v>151970</v>
      </c>
      <c r="J195">
        <v>0</v>
      </c>
      <c r="K195">
        <v>9600</v>
      </c>
      <c r="L195">
        <v>142370</v>
      </c>
      <c r="M195">
        <v>0</v>
      </c>
      <c r="N195" s="86" t="s">
        <v>1077</v>
      </c>
      <c r="O195" s="73" t="s">
        <v>849</v>
      </c>
      <c r="P195" s="71">
        <v>6449</v>
      </c>
      <c r="Q195" s="71"/>
      <c r="R195" s="71">
        <v>42400</v>
      </c>
      <c r="S195" s="71">
        <v>48849</v>
      </c>
    </row>
    <row r="196" spans="1:19" x14ac:dyDescent="0.3">
      <c r="A196" s="86" t="s">
        <v>1078</v>
      </c>
      <c r="B196" s="86" t="s">
        <v>47</v>
      </c>
      <c r="C196" s="86" t="s">
        <v>840</v>
      </c>
      <c r="D196" s="86" t="s">
        <v>842</v>
      </c>
      <c r="E196" s="86" t="s">
        <v>841</v>
      </c>
      <c r="F196" s="86" t="s">
        <v>47</v>
      </c>
      <c r="G196" s="86" t="s">
        <v>48</v>
      </c>
      <c r="H196" s="86" t="s">
        <v>141</v>
      </c>
      <c r="I196">
        <v>166663</v>
      </c>
      <c r="J196">
        <v>0</v>
      </c>
      <c r="K196">
        <v>28800</v>
      </c>
      <c r="L196">
        <v>137863</v>
      </c>
      <c r="M196">
        <v>0</v>
      </c>
      <c r="N196" s="86" t="s">
        <v>1077</v>
      </c>
      <c r="O196" s="73" t="s">
        <v>857</v>
      </c>
      <c r="P196" s="71"/>
      <c r="Q196" s="71">
        <v>280898</v>
      </c>
      <c r="R196" s="71">
        <v>484000</v>
      </c>
      <c r="S196" s="71">
        <v>764898</v>
      </c>
    </row>
    <row r="197" spans="1:19" x14ac:dyDescent="0.3">
      <c r="A197" s="86" t="s">
        <v>1078</v>
      </c>
      <c r="B197" s="86" t="s">
        <v>47</v>
      </c>
      <c r="C197" s="86" t="s">
        <v>843</v>
      </c>
      <c r="D197" s="86" t="s">
        <v>845</v>
      </c>
      <c r="E197" s="86" t="s">
        <v>844</v>
      </c>
      <c r="F197" s="86" t="s">
        <v>47</v>
      </c>
      <c r="G197" s="86" t="s">
        <v>48</v>
      </c>
      <c r="H197" s="86" t="s">
        <v>141</v>
      </c>
      <c r="I197">
        <v>192000</v>
      </c>
      <c r="J197">
        <v>0</v>
      </c>
      <c r="K197">
        <v>0</v>
      </c>
      <c r="L197">
        <v>192000</v>
      </c>
      <c r="M197">
        <v>0</v>
      </c>
      <c r="N197" s="86" t="s">
        <v>1077</v>
      </c>
      <c r="O197" s="73" t="s">
        <v>860</v>
      </c>
      <c r="P197" s="71"/>
      <c r="Q197" s="71">
        <v>119463</v>
      </c>
      <c r="R197" s="71">
        <v>0</v>
      </c>
      <c r="S197" s="71">
        <v>119463</v>
      </c>
    </row>
    <row r="198" spans="1:19" x14ac:dyDescent="0.3">
      <c r="A198" s="86" t="s">
        <v>1078</v>
      </c>
      <c r="B198" s="86" t="s">
        <v>47</v>
      </c>
      <c r="C198" s="86" t="s">
        <v>846</v>
      </c>
      <c r="D198" s="86" t="s">
        <v>848</v>
      </c>
      <c r="E198" s="86" t="s">
        <v>847</v>
      </c>
      <c r="F198" s="86" t="s">
        <v>47</v>
      </c>
      <c r="G198" s="86" t="s">
        <v>48</v>
      </c>
      <c r="H198" s="86" t="s">
        <v>141</v>
      </c>
      <c r="I198">
        <v>66550</v>
      </c>
      <c r="J198">
        <v>0</v>
      </c>
      <c r="K198">
        <v>0</v>
      </c>
      <c r="L198">
        <v>66550</v>
      </c>
      <c r="M198">
        <v>0</v>
      </c>
      <c r="N198" s="86" t="s">
        <v>1077</v>
      </c>
      <c r="O198" s="73" t="s">
        <v>863</v>
      </c>
      <c r="P198" s="71"/>
      <c r="Q198" s="71">
        <v>42268</v>
      </c>
      <c r="R198" s="71">
        <v>296000</v>
      </c>
      <c r="S198" s="71">
        <v>338268</v>
      </c>
    </row>
    <row r="199" spans="1:19" x14ac:dyDescent="0.3">
      <c r="A199" s="86" t="s">
        <v>1078</v>
      </c>
      <c r="B199" s="86" t="s">
        <v>47</v>
      </c>
      <c r="C199" s="86" t="s">
        <v>849</v>
      </c>
      <c r="D199" s="86" t="s">
        <v>851</v>
      </c>
      <c r="E199" s="86" t="s">
        <v>850</v>
      </c>
      <c r="F199" s="86" t="s">
        <v>47</v>
      </c>
      <c r="G199" s="86" t="s">
        <v>48</v>
      </c>
      <c r="H199" s="86" t="s">
        <v>141</v>
      </c>
      <c r="I199">
        <v>42400</v>
      </c>
      <c r="J199">
        <v>0</v>
      </c>
      <c r="K199">
        <v>0</v>
      </c>
      <c r="L199">
        <v>42400</v>
      </c>
      <c r="M199">
        <v>0</v>
      </c>
      <c r="N199" s="86" t="s">
        <v>1077</v>
      </c>
      <c r="O199" s="73" t="s">
        <v>866</v>
      </c>
      <c r="P199" s="71"/>
      <c r="Q199" s="71">
        <v>79941</v>
      </c>
      <c r="R199" s="71">
        <v>388000</v>
      </c>
      <c r="S199" s="71">
        <v>467941</v>
      </c>
    </row>
    <row r="200" spans="1:19" x14ac:dyDescent="0.3">
      <c r="A200" s="86" t="s">
        <v>1078</v>
      </c>
      <c r="B200" s="86" t="s">
        <v>47</v>
      </c>
      <c r="C200" s="86" t="s">
        <v>857</v>
      </c>
      <c r="D200" s="86" t="s">
        <v>859</v>
      </c>
      <c r="E200" s="86" t="s">
        <v>858</v>
      </c>
      <c r="F200" s="86" t="s">
        <v>47</v>
      </c>
      <c r="G200" s="86" t="s">
        <v>48</v>
      </c>
      <c r="H200" s="86" t="s">
        <v>141</v>
      </c>
      <c r="I200">
        <v>484000</v>
      </c>
      <c r="J200">
        <v>0</v>
      </c>
      <c r="K200">
        <v>0</v>
      </c>
      <c r="L200">
        <v>484000</v>
      </c>
      <c r="M200">
        <v>0</v>
      </c>
      <c r="N200" s="86" t="s">
        <v>1077</v>
      </c>
      <c r="O200" s="73" t="s">
        <v>875</v>
      </c>
      <c r="P200" s="71"/>
      <c r="Q200" s="71">
        <v>38435</v>
      </c>
      <c r="R200" s="71">
        <v>424000</v>
      </c>
      <c r="S200" s="71">
        <v>462435</v>
      </c>
    </row>
    <row r="201" spans="1:19" x14ac:dyDescent="0.3">
      <c r="A201" s="86" t="s">
        <v>1078</v>
      </c>
      <c r="B201" s="86" t="s">
        <v>47</v>
      </c>
      <c r="C201" s="86" t="s">
        <v>860</v>
      </c>
      <c r="D201" s="86" t="s">
        <v>862</v>
      </c>
      <c r="E201" s="86" t="s">
        <v>861</v>
      </c>
      <c r="F201" s="86" t="s">
        <v>47</v>
      </c>
      <c r="G201" s="86" t="s">
        <v>48</v>
      </c>
      <c r="H201" s="86" t="s">
        <v>141</v>
      </c>
      <c r="I201">
        <v>0</v>
      </c>
      <c r="J201">
        <v>0</v>
      </c>
      <c r="K201">
        <v>0</v>
      </c>
      <c r="L201">
        <v>0</v>
      </c>
      <c r="M201">
        <v>0</v>
      </c>
      <c r="N201" s="86" t="s">
        <v>1077</v>
      </c>
      <c r="O201" s="73" t="s">
        <v>878</v>
      </c>
      <c r="P201" s="71"/>
      <c r="Q201" s="71">
        <v>71043</v>
      </c>
      <c r="R201" s="71">
        <v>288000</v>
      </c>
      <c r="S201" s="71">
        <v>359043</v>
      </c>
    </row>
    <row r="202" spans="1:19" x14ac:dyDescent="0.3">
      <c r="A202" s="86" t="s">
        <v>1078</v>
      </c>
      <c r="B202" s="86" t="s">
        <v>47</v>
      </c>
      <c r="C202" s="86" t="s">
        <v>863</v>
      </c>
      <c r="D202" s="86" t="s">
        <v>865</v>
      </c>
      <c r="E202" s="86" t="s">
        <v>864</v>
      </c>
      <c r="F202" s="86" t="s">
        <v>47</v>
      </c>
      <c r="G202" s="86" t="s">
        <v>48</v>
      </c>
      <c r="H202" s="86" t="s">
        <v>141</v>
      </c>
      <c r="I202">
        <v>296000</v>
      </c>
      <c r="J202">
        <v>0</v>
      </c>
      <c r="K202">
        <v>0</v>
      </c>
      <c r="L202">
        <v>296000</v>
      </c>
      <c r="M202">
        <v>0</v>
      </c>
      <c r="N202" s="86" t="s">
        <v>1077</v>
      </c>
      <c r="O202" s="73" t="s">
        <v>881</v>
      </c>
      <c r="P202" s="71"/>
      <c r="Q202" s="71">
        <v>50353</v>
      </c>
      <c r="R202" s="71">
        <v>139000</v>
      </c>
      <c r="S202" s="71">
        <v>189353</v>
      </c>
    </row>
    <row r="203" spans="1:19" x14ac:dyDescent="0.3">
      <c r="A203" s="86" t="s">
        <v>1078</v>
      </c>
      <c r="B203" s="86" t="s">
        <v>47</v>
      </c>
      <c r="C203" s="86" t="s">
        <v>866</v>
      </c>
      <c r="D203" s="86" t="s">
        <v>868</v>
      </c>
      <c r="E203" s="86" t="s">
        <v>867</v>
      </c>
      <c r="F203" s="86" t="s">
        <v>47</v>
      </c>
      <c r="G203" s="86" t="s">
        <v>48</v>
      </c>
      <c r="H203" s="86" t="s">
        <v>141</v>
      </c>
      <c r="I203">
        <v>388000</v>
      </c>
      <c r="J203">
        <v>0</v>
      </c>
      <c r="K203">
        <v>0</v>
      </c>
      <c r="L203">
        <v>388000</v>
      </c>
      <c r="M203">
        <v>0</v>
      </c>
      <c r="N203" s="86" t="s">
        <v>1077</v>
      </c>
      <c r="O203" s="73" t="s">
        <v>884</v>
      </c>
      <c r="P203" s="71"/>
      <c r="Q203" s="71">
        <v>55622</v>
      </c>
      <c r="R203" s="71">
        <v>96000</v>
      </c>
      <c r="S203" s="71">
        <v>151622</v>
      </c>
    </row>
    <row r="204" spans="1:19" x14ac:dyDescent="0.3">
      <c r="A204" s="86" t="s">
        <v>1078</v>
      </c>
      <c r="B204" s="86" t="s">
        <v>47</v>
      </c>
      <c r="C204" s="86" t="s">
        <v>875</v>
      </c>
      <c r="D204" s="86" t="s">
        <v>877</v>
      </c>
      <c r="E204" s="86" t="s">
        <v>876</v>
      </c>
      <c r="F204" s="86" t="s">
        <v>47</v>
      </c>
      <c r="G204" s="86" t="s">
        <v>48</v>
      </c>
      <c r="H204" s="86" t="s">
        <v>141</v>
      </c>
      <c r="I204">
        <v>424000</v>
      </c>
      <c r="J204">
        <v>0</v>
      </c>
      <c r="K204">
        <v>0</v>
      </c>
      <c r="L204">
        <v>424000</v>
      </c>
      <c r="M204">
        <v>0</v>
      </c>
      <c r="N204" s="86" t="s">
        <v>1077</v>
      </c>
      <c r="O204" s="73" t="s">
        <v>887</v>
      </c>
      <c r="P204" s="71"/>
      <c r="Q204" s="71">
        <v>104717</v>
      </c>
      <c r="R204" s="71">
        <v>139000</v>
      </c>
      <c r="S204" s="71">
        <v>243717</v>
      </c>
    </row>
    <row r="205" spans="1:19" x14ac:dyDescent="0.3">
      <c r="A205" s="86" t="s">
        <v>1078</v>
      </c>
      <c r="B205" s="86" t="s">
        <v>47</v>
      </c>
      <c r="C205" s="86" t="s">
        <v>878</v>
      </c>
      <c r="D205" s="86" t="s">
        <v>880</v>
      </c>
      <c r="E205" s="86" t="s">
        <v>879</v>
      </c>
      <c r="F205" s="86" t="s">
        <v>47</v>
      </c>
      <c r="G205" s="86" t="s">
        <v>48</v>
      </c>
      <c r="H205" s="86" t="s">
        <v>141</v>
      </c>
      <c r="I205">
        <v>288000</v>
      </c>
      <c r="J205">
        <v>0</v>
      </c>
      <c r="K205">
        <v>0</v>
      </c>
      <c r="L205">
        <v>288000</v>
      </c>
      <c r="M205">
        <v>0</v>
      </c>
      <c r="N205" s="86" t="s">
        <v>1077</v>
      </c>
      <c r="O205" s="73" t="s">
        <v>917</v>
      </c>
      <c r="P205" s="71"/>
      <c r="Q205" s="71"/>
      <c r="R205" s="71">
        <v>356000</v>
      </c>
      <c r="S205" s="71">
        <v>356000</v>
      </c>
    </row>
    <row r="206" spans="1:19" x14ac:dyDescent="0.3">
      <c r="A206" s="86" t="s">
        <v>1078</v>
      </c>
      <c r="B206" s="86" t="s">
        <v>47</v>
      </c>
      <c r="C206" s="86" t="s">
        <v>881</v>
      </c>
      <c r="D206" s="86" t="s">
        <v>883</v>
      </c>
      <c r="E206" s="86" t="s">
        <v>882</v>
      </c>
      <c r="F206" s="86" t="s">
        <v>47</v>
      </c>
      <c r="G206" s="86" t="s">
        <v>48</v>
      </c>
      <c r="H206" s="86" t="s">
        <v>141</v>
      </c>
      <c r="I206">
        <v>139000</v>
      </c>
      <c r="J206">
        <v>0</v>
      </c>
      <c r="K206">
        <v>0</v>
      </c>
      <c r="L206">
        <v>139000</v>
      </c>
      <c r="M206">
        <v>0</v>
      </c>
      <c r="N206" s="86" t="s">
        <v>1077</v>
      </c>
      <c r="O206" s="73" t="s">
        <v>920</v>
      </c>
      <c r="P206" s="71"/>
      <c r="Q206" s="71"/>
      <c r="R206" s="71">
        <v>281000</v>
      </c>
      <c r="S206" s="71">
        <v>281000</v>
      </c>
    </row>
    <row r="207" spans="1:19" x14ac:dyDescent="0.3">
      <c r="A207" s="86" t="s">
        <v>1078</v>
      </c>
      <c r="B207" s="86" t="s">
        <v>47</v>
      </c>
      <c r="C207" s="86" t="s">
        <v>884</v>
      </c>
      <c r="D207" s="86" t="s">
        <v>886</v>
      </c>
      <c r="E207" s="86" t="s">
        <v>885</v>
      </c>
      <c r="F207" s="86" t="s">
        <v>47</v>
      </c>
      <c r="G207" s="86" t="s">
        <v>48</v>
      </c>
      <c r="H207" s="86" t="s">
        <v>141</v>
      </c>
      <c r="I207">
        <v>96000</v>
      </c>
      <c r="J207">
        <v>0</v>
      </c>
      <c r="K207">
        <v>0</v>
      </c>
      <c r="L207">
        <v>96000</v>
      </c>
      <c r="M207">
        <v>0</v>
      </c>
      <c r="N207" s="86" t="s">
        <v>1077</v>
      </c>
      <c r="O207" s="73" t="s">
        <v>929</v>
      </c>
      <c r="P207" s="71"/>
      <c r="Q207" s="71">
        <v>9466</v>
      </c>
      <c r="R207" s="71">
        <v>384000</v>
      </c>
      <c r="S207" s="71">
        <v>393466</v>
      </c>
    </row>
    <row r="208" spans="1:19" x14ac:dyDescent="0.3">
      <c r="A208" s="86" t="s">
        <v>1078</v>
      </c>
      <c r="B208" s="86" t="s">
        <v>47</v>
      </c>
      <c r="C208" s="86" t="s">
        <v>887</v>
      </c>
      <c r="D208" s="86" t="s">
        <v>889</v>
      </c>
      <c r="E208" s="86" t="s">
        <v>888</v>
      </c>
      <c r="F208" s="86" t="s">
        <v>47</v>
      </c>
      <c r="G208" s="86" t="s">
        <v>48</v>
      </c>
      <c r="H208" s="86" t="s">
        <v>141</v>
      </c>
      <c r="I208">
        <v>139000</v>
      </c>
      <c r="J208">
        <v>0</v>
      </c>
      <c r="K208">
        <v>0</v>
      </c>
      <c r="L208">
        <v>139000</v>
      </c>
      <c r="M208">
        <v>0</v>
      </c>
      <c r="N208" s="86" t="s">
        <v>1077</v>
      </c>
      <c r="O208" s="73" t="s">
        <v>932</v>
      </c>
      <c r="P208" s="71"/>
      <c r="Q208" s="71">
        <v>21259</v>
      </c>
      <c r="R208" s="71">
        <v>370000</v>
      </c>
      <c r="S208" s="71">
        <v>391259</v>
      </c>
    </row>
    <row r="209" spans="1:19" x14ac:dyDescent="0.3">
      <c r="A209" s="86" t="s">
        <v>1078</v>
      </c>
      <c r="B209" s="86" t="s">
        <v>47</v>
      </c>
      <c r="C209" s="86" t="s">
        <v>917</v>
      </c>
      <c r="D209" s="86" t="s">
        <v>919</v>
      </c>
      <c r="E209" s="86" t="s">
        <v>918</v>
      </c>
      <c r="F209" s="86" t="s">
        <v>47</v>
      </c>
      <c r="G209" s="86" t="s">
        <v>48</v>
      </c>
      <c r="H209" s="86" t="s">
        <v>141</v>
      </c>
      <c r="I209">
        <v>356000</v>
      </c>
      <c r="J209">
        <v>0</v>
      </c>
      <c r="K209">
        <v>0</v>
      </c>
      <c r="L209">
        <v>356000</v>
      </c>
      <c r="M209">
        <v>0</v>
      </c>
      <c r="N209" s="86" t="s">
        <v>1077</v>
      </c>
      <c r="O209" s="73" t="s">
        <v>935</v>
      </c>
      <c r="P209" s="71"/>
      <c r="Q209" s="71">
        <v>8100</v>
      </c>
      <c r="R209" s="71">
        <v>397000</v>
      </c>
      <c r="S209" s="71">
        <v>405100</v>
      </c>
    </row>
    <row r="210" spans="1:19" x14ac:dyDescent="0.3">
      <c r="A210" s="86" t="s">
        <v>1078</v>
      </c>
      <c r="B210" s="86" t="s">
        <v>47</v>
      </c>
      <c r="C210" s="86" t="s">
        <v>920</v>
      </c>
      <c r="D210" s="86" t="s">
        <v>916</v>
      </c>
      <c r="E210" s="86" t="s">
        <v>921</v>
      </c>
      <c r="F210" s="86" t="s">
        <v>47</v>
      </c>
      <c r="G210" s="86" t="s">
        <v>48</v>
      </c>
      <c r="H210" s="86" t="s">
        <v>141</v>
      </c>
      <c r="I210">
        <v>281000</v>
      </c>
      <c r="J210">
        <v>0</v>
      </c>
      <c r="K210">
        <v>0</v>
      </c>
      <c r="L210">
        <v>281000</v>
      </c>
      <c r="M210">
        <v>0</v>
      </c>
      <c r="N210" s="86" t="s">
        <v>1077</v>
      </c>
      <c r="O210" s="73" t="s">
        <v>938</v>
      </c>
      <c r="P210" s="71"/>
      <c r="Q210" s="71">
        <v>13859</v>
      </c>
      <c r="R210" s="71">
        <v>384000</v>
      </c>
      <c r="S210" s="71">
        <v>397859</v>
      </c>
    </row>
    <row r="211" spans="1:19" x14ac:dyDescent="0.3">
      <c r="A211" s="86" t="s">
        <v>1078</v>
      </c>
      <c r="B211" s="86" t="s">
        <v>47</v>
      </c>
      <c r="C211" s="86" t="s">
        <v>929</v>
      </c>
      <c r="D211" s="86" t="s">
        <v>931</v>
      </c>
      <c r="E211" s="86" t="s">
        <v>930</v>
      </c>
      <c r="F211" s="86" t="s">
        <v>47</v>
      </c>
      <c r="G211" s="86" t="s">
        <v>48</v>
      </c>
      <c r="H211" s="86" t="s">
        <v>141</v>
      </c>
      <c r="I211">
        <v>384000</v>
      </c>
      <c r="J211">
        <v>0</v>
      </c>
      <c r="K211">
        <v>0</v>
      </c>
      <c r="L211">
        <v>384000</v>
      </c>
      <c r="M211">
        <v>0</v>
      </c>
      <c r="N211" s="86" t="s">
        <v>1077</v>
      </c>
      <c r="O211" s="73" t="s">
        <v>941</v>
      </c>
      <c r="P211" s="71"/>
      <c r="Q211" s="71">
        <v>48060</v>
      </c>
      <c r="R211" s="71">
        <v>337000</v>
      </c>
      <c r="S211" s="71">
        <v>385060</v>
      </c>
    </row>
    <row r="212" spans="1:19" x14ac:dyDescent="0.3">
      <c r="A212" s="86" t="s">
        <v>1078</v>
      </c>
      <c r="B212" s="86" t="s">
        <v>47</v>
      </c>
      <c r="C212" s="86" t="s">
        <v>932</v>
      </c>
      <c r="D212" s="86" t="s">
        <v>934</v>
      </c>
      <c r="E212" s="86" t="s">
        <v>933</v>
      </c>
      <c r="F212" s="86" t="s">
        <v>47</v>
      </c>
      <c r="G212" s="86" t="s">
        <v>48</v>
      </c>
      <c r="H212" s="86" t="s">
        <v>141</v>
      </c>
      <c r="I212">
        <v>370000</v>
      </c>
      <c r="J212">
        <v>0</v>
      </c>
      <c r="K212">
        <v>0</v>
      </c>
      <c r="L212">
        <v>370000</v>
      </c>
      <c r="M212">
        <v>0</v>
      </c>
      <c r="N212" s="86" t="s">
        <v>1077</v>
      </c>
      <c r="O212" s="73" t="s">
        <v>944</v>
      </c>
      <c r="P212" s="71"/>
      <c r="Q212" s="71">
        <v>48000</v>
      </c>
      <c r="R212" s="71">
        <v>2015000</v>
      </c>
      <c r="S212" s="71">
        <v>2063000</v>
      </c>
    </row>
    <row r="213" spans="1:19" x14ac:dyDescent="0.3">
      <c r="A213" s="86" t="s">
        <v>1078</v>
      </c>
      <c r="B213" s="86" t="s">
        <v>47</v>
      </c>
      <c r="C213" s="86" t="s">
        <v>935</v>
      </c>
      <c r="D213" s="86" t="s">
        <v>937</v>
      </c>
      <c r="E213" s="86" t="s">
        <v>936</v>
      </c>
      <c r="F213" s="86" t="s">
        <v>47</v>
      </c>
      <c r="G213" s="86" t="s">
        <v>48</v>
      </c>
      <c r="H213" s="86" t="s">
        <v>141</v>
      </c>
      <c r="I213">
        <v>397000</v>
      </c>
      <c r="J213">
        <v>0</v>
      </c>
      <c r="K213">
        <v>0</v>
      </c>
      <c r="L213">
        <v>397000</v>
      </c>
      <c r="M213">
        <v>0</v>
      </c>
      <c r="N213" s="86" t="s">
        <v>1077</v>
      </c>
      <c r="O213" s="73" t="s">
        <v>962</v>
      </c>
      <c r="P213" s="71"/>
      <c r="Q213" s="71">
        <v>71483</v>
      </c>
      <c r="R213" s="71">
        <v>96000</v>
      </c>
      <c r="S213" s="71">
        <v>167483</v>
      </c>
    </row>
    <row r="214" spans="1:19" x14ac:dyDescent="0.3">
      <c r="A214" s="86" t="s">
        <v>1078</v>
      </c>
      <c r="B214" s="86" t="s">
        <v>47</v>
      </c>
      <c r="C214" s="86" t="s">
        <v>938</v>
      </c>
      <c r="D214" s="86" t="s">
        <v>940</v>
      </c>
      <c r="E214" s="86" t="s">
        <v>939</v>
      </c>
      <c r="F214" s="86" t="s">
        <v>47</v>
      </c>
      <c r="G214" s="86" t="s">
        <v>48</v>
      </c>
      <c r="H214" s="86" t="s">
        <v>141</v>
      </c>
      <c r="I214">
        <v>384000</v>
      </c>
      <c r="J214">
        <v>0</v>
      </c>
      <c r="K214">
        <v>0</v>
      </c>
      <c r="L214">
        <v>384000</v>
      </c>
      <c r="M214">
        <v>0</v>
      </c>
      <c r="N214" s="86" t="s">
        <v>1077</v>
      </c>
      <c r="O214" s="73" t="s">
        <v>965</v>
      </c>
      <c r="P214" s="71">
        <v>0</v>
      </c>
      <c r="Q214" s="71">
        <v>35960</v>
      </c>
      <c r="R214" s="71">
        <v>192000</v>
      </c>
      <c r="S214" s="71">
        <v>227960</v>
      </c>
    </row>
    <row r="215" spans="1:19" x14ac:dyDescent="0.3">
      <c r="A215" s="86" t="s">
        <v>1078</v>
      </c>
      <c r="B215" s="86" t="s">
        <v>47</v>
      </c>
      <c r="C215" s="86" t="s">
        <v>941</v>
      </c>
      <c r="D215" s="86" t="s">
        <v>943</v>
      </c>
      <c r="E215" s="86" t="s">
        <v>942</v>
      </c>
      <c r="F215" s="86" t="s">
        <v>47</v>
      </c>
      <c r="G215" s="86" t="s">
        <v>48</v>
      </c>
      <c r="H215" s="86" t="s">
        <v>141</v>
      </c>
      <c r="I215">
        <v>337000</v>
      </c>
      <c r="J215">
        <v>0</v>
      </c>
      <c r="K215">
        <v>0</v>
      </c>
      <c r="L215">
        <v>337000</v>
      </c>
      <c r="M215">
        <v>0</v>
      </c>
      <c r="N215" s="86" t="s">
        <v>1077</v>
      </c>
      <c r="O215" s="73" t="s">
        <v>968</v>
      </c>
      <c r="P215" s="71"/>
      <c r="Q215" s="71">
        <v>12720</v>
      </c>
      <c r="R215" s="71">
        <v>202000</v>
      </c>
      <c r="S215" s="71">
        <v>214720</v>
      </c>
    </row>
    <row r="216" spans="1:19" x14ac:dyDescent="0.3">
      <c r="A216" s="86" t="s">
        <v>1078</v>
      </c>
      <c r="B216" s="86" t="s">
        <v>47</v>
      </c>
      <c r="C216" s="86" t="s">
        <v>944</v>
      </c>
      <c r="D216" s="86" t="s">
        <v>946</v>
      </c>
      <c r="E216" s="86" t="s">
        <v>945</v>
      </c>
      <c r="F216" s="86" t="s">
        <v>47</v>
      </c>
      <c r="G216" s="86" t="s">
        <v>48</v>
      </c>
      <c r="H216" s="86" t="s">
        <v>141</v>
      </c>
      <c r="I216">
        <v>2063000</v>
      </c>
      <c r="J216">
        <v>0</v>
      </c>
      <c r="K216">
        <v>48000</v>
      </c>
      <c r="L216">
        <v>2015000</v>
      </c>
      <c r="M216">
        <v>0</v>
      </c>
      <c r="N216" s="86" t="s">
        <v>1077</v>
      </c>
      <c r="O216" s="73" t="s">
        <v>1010</v>
      </c>
      <c r="P216" s="71"/>
      <c r="Q216" s="71">
        <v>34474</v>
      </c>
      <c r="R216" s="71">
        <v>48000</v>
      </c>
      <c r="S216" s="71">
        <v>82474</v>
      </c>
    </row>
    <row r="217" spans="1:19" x14ac:dyDescent="0.3">
      <c r="A217" s="86" t="s">
        <v>1078</v>
      </c>
      <c r="B217" s="86" t="s">
        <v>47</v>
      </c>
      <c r="C217" s="86" t="s">
        <v>962</v>
      </c>
      <c r="D217" s="86" t="s">
        <v>964</v>
      </c>
      <c r="E217" s="86" t="s">
        <v>963</v>
      </c>
      <c r="F217" s="86" t="s">
        <v>47</v>
      </c>
      <c r="G217" s="86" t="s">
        <v>48</v>
      </c>
      <c r="H217" s="86" t="s">
        <v>141</v>
      </c>
      <c r="I217">
        <v>96000</v>
      </c>
      <c r="J217">
        <v>0</v>
      </c>
      <c r="K217">
        <v>0</v>
      </c>
      <c r="L217">
        <v>96000</v>
      </c>
      <c r="M217">
        <v>0</v>
      </c>
      <c r="N217" s="86" t="s">
        <v>1077</v>
      </c>
      <c r="O217" s="73" t="s">
        <v>1013</v>
      </c>
      <c r="P217" s="71"/>
      <c r="Q217" s="71">
        <v>46255</v>
      </c>
      <c r="R217" s="71">
        <v>96000</v>
      </c>
      <c r="S217" s="71">
        <v>142255</v>
      </c>
    </row>
    <row r="218" spans="1:19" x14ac:dyDescent="0.3">
      <c r="A218" s="86" t="s">
        <v>1078</v>
      </c>
      <c r="B218" s="86" t="s">
        <v>47</v>
      </c>
      <c r="C218" s="86" t="s">
        <v>965</v>
      </c>
      <c r="D218" s="86" t="s">
        <v>967</v>
      </c>
      <c r="E218" s="86" t="s">
        <v>966</v>
      </c>
      <c r="F218" s="86" t="s">
        <v>47</v>
      </c>
      <c r="G218" s="86" t="s">
        <v>48</v>
      </c>
      <c r="H218" s="86" t="s">
        <v>141</v>
      </c>
      <c r="I218">
        <v>0</v>
      </c>
      <c r="J218">
        <v>240000</v>
      </c>
      <c r="K218">
        <v>48000</v>
      </c>
      <c r="L218">
        <v>192000</v>
      </c>
      <c r="M218">
        <v>0</v>
      </c>
      <c r="N218" s="86" t="s">
        <v>1077</v>
      </c>
      <c r="O218" s="73" t="s">
        <v>1016</v>
      </c>
      <c r="P218" s="71">
        <v>58991</v>
      </c>
      <c r="Q218" s="71"/>
      <c r="R218" s="71">
        <v>846609</v>
      </c>
      <c r="S218" s="71">
        <v>905600</v>
      </c>
    </row>
    <row r="219" spans="1:19" x14ac:dyDescent="0.3">
      <c r="A219" s="86" t="s">
        <v>1078</v>
      </c>
      <c r="B219" s="86" t="s">
        <v>47</v>
      </c>
      <c r="C219" s="86" t="s">
        <v>968</v>
      </c>
      <c r="D219" s="86" t="s">
        <v>970</v>
      </c>
      <c r="E219" s="86" t="s">
        <v>969</v>
      </c>
      <c r="F219" s="86" t="s">
        <v>47</v>
      </c>
      <c r="G219" s="86" t="s">
        <v>48</v>
      </c>
      <c r="H219" s="86" t="s">
        <v>141</v>
      </c>
      <c r="I219">
        <v>0</v>
      </c>
      <c r="J219">
        <v>250000</v>
      </c>
      <c r="K219">
        <v>48000</v>
      </c>
      <c r="L219">
        <v>202000</v>
      </c>
      <c r="M219">
        <v>0</v>
      </c>
      <c r="N219" s="86" t="s">
        <v>1077</v>
      </c>
      <c r="O219" s="73" t="s">
        <v>1028</v>
      </c>
      <c r="P219" s="71"/>
      <c r="Q219" s="71">
        <v>48000</v>
      </c>
      <c r="R219" s="71">
        <v>192000</v>
      </c>
      <c r="S219" s="71">
        <v>240000</v>
      </c>
    </row>
    <row r="220" spans="1:19" x14ac:dyDescent="0.3">
      <c r="A220" s="86" t="s">
        <v>1078</v>
      </c>
      <c r="B220" s="86" t="s">
        <v>47</v>
      </c>
      <c r="C220" s="86" t="s">
        <v>971</v>
      </c>
      <c r="D220" s="86" t="s">
        <v>973</v>
      </c>
      <c r="E220" s="86" t="s">
        <v>972</v>
      </c>
      <c r="F220" s="86" t="s">
        <v>47</v>
      </c>
      <c r="G220" s="86" t="s">
        <v>48</v>
      </c>
      <c r="H220" s="86" t="s">
        <v>141</v>
      </c>
      <c r="I220">
        <v>0</v>
      </c>
      <c r="J220">
        <v>240000</v>
      </c>
      <c r="K220">
        <v>0</v>
      </c>
      <c r="L220">
        <v>240000</v>
      </c>
      <c r="M220">
        <v>0</v>
      </c>
      <c r="N220" s="86" t="s">
        <v>1077</v>
      </c>
      <c r="O220" s="73" t="s">
        <v>1040</v>
      </c>
      <c r="P220" s="71"/>
      <c r="Q220" s="71">
        <v>49000</v>
      </c>
      <c r="R220" s="71">
        <v>192000</v>
      </c>
      <c r="S220" s="71">
        <v>241000</v>
      </c>
    </row>
    <row r="221" spans="1:19" x14ac:dyDescent="0.3">
      <c r="A221" s="86" t="s">
        <v>1078</v>
      </c>
      <c r="B221" s="86" t="s">
        <v>47</v>
      </c>
      <c r="C221" s="86" t="s">
        <v>1010</v>
      </c>
      <c r="D221" s="86" t="s">
        <v>1012</v>
      </c>
      <c r="E221" s="86" t="s">
        <v>1011</v>
      </c>
      <c r="F221" s="86" t="s">
        <v>47</v>
      </c>
      <c r="G221" s="86" t="s">
        <v>48</v>
      </c>
      <c r="H221" s="86" t="s">
        <v>141</v>
      </c>
      <c r="I221">
        <v>48000</v>
      </c>
      <c r="J221">
        <v>0</v>
      </c>
      <c r="K221">
        <v>0</v>
      </c>
      <c r="L221">
        <v>48000</v>
      </c>
      <c r="M221">
        <v>0</v>
      </c>
      <c r="N221" s="86" t="s">
        <v>1077</v>
      </c>
      <c r="O221" s="73" t="s">
        <v>971</v>
      </c>
      <c r="P221" s="71"/>
      <c r="Q221" s="71"/>
      <c r="R221" s="71">
        <v>240000</v>
      </c>
      <c r="S221" s="71">
        <v>240000</v>
      </c>
    </row>
    <row r="222" spans="1:19" x14ac:dyDescent="0.3">
      <c r="A222" s="86" t="s">
        <v>1078</v>
      </c>
      <c r="B222" s="86" t="s">
        <v>47</v>
      </c>
      <c r="C222" s="86" t="s">
        <v>1013</v>
      </c>
      <c r="D222" s="86" t="s">
        <v>1015</v>
      </c>
      <c r="E222" s="86" t="s">
        <v>1014</v>
      </c>
      <c r="F222" s="86" t="s">
        <v>47</v>
      </c>
      <c r="G222" s="86" t="s">
        <v>48</v>
      </c>
      <c r="H222" s="86" t="s">
        <v>141</v>
      </c>
      <c r="I222">
        <v>96000</v>
      </c>
      <c r="J222">
        <v>0</v>
      </c>
      <c r="K222">
        <v>0</v>
      </c>
      <c r="L222">
        <v>96000</v>
      </c>
      <c r="M222">
        <v>0</v>
      </c>
      <c r="N222" s="86" t="s">
        <v>1077</v>
      </c>
      <c r="O222" s="73" t="s">
        <v>1085</v>
      </c>
      <c r="P222" s="71">
        <v>941461</v>
      </c>
      <c r="Q222" s="71">
        <v>9573370</v>
      </c>
      <c r="R222" s="71">
        <v>47503374</v>
      </c>
      <c r="S222" s="71">
        <v>58018205</v>
      </c>
    </row>
    <row r="223" spans="1:19" x14ac:dyDescent="0.3">
      <c r="A223" s="86" t="s">
        <v>1078</v>
      </c>
      <c r="B223" s="86" t="s">
        <v>47</v>
      </c>
      <c r="C223" s="86" t="s">
        <v>1016</v>
      </c>
      <c r="D223" s="86" t="s">
        <v>1018</v>
      </c>
      <c r="E223" s="86" t="s">
        <v>1017</v>
      </c>
      <c r="F223" s="86" t="s">
        <v>47</v>
      </c>
      <c r="G223" s="86" t="s">
        <v>48</v>
      </c>
      <c r="H223" s="86" t="s">
        <v>141</v>
      </c>
      <c r="I223">
        <v>699344</v>
      </c>
      <c r="J223">
        <v>931580</v>
      </c>
      <c r="K223">
        <v>784315</v>
      </c>
      <c r="L223">
        <v>846609</v>
      </c>
      <c r="M223">
        <v>0</v>
      </c>
      <c r="N223" s="86" t="s">
        <v>1077</v>
      </c>
      <c r="O223" s="71"/>
      <c r="P223" s="71"/>
      <c r="Q223" s="71"/>
      <c r="R223" s="71"/>
      <c r="S223" s="71"/>
    </row>
    <row r="224" spans="1:19" x14ac:dyDescent="0.3">
      <c r="A224" s="86" t="s">
        <v>1078</v>
      </c>
      <c r="B224" s="86" t="s">
        <v>47</v>
      </c>
      <c r="C224" s="86" t="s">
        <v>1028</v>
      </c>
      <c r="D224" s="86" t="s">
        <v>1030</v>
      </c>
      <c r="E224" s="86" t="s">
        <v>1029</v>
      </c>
      <c r="F224" s="86" t="s">
        <v>47</v>
      </c>
      <c r="G224" s="86" t="s">
        <v>48</v>
      </c>
      <c r="H224" s="86" t="s">
        <v>141</v>
      </c>
      <c r="I224">
        <v>0</v>
      </c>
      <c r="J224">
        <v>240000</v>
      </c>
      <c r="K224">
        <v>48000</v>
      </c>
      <c r="L224">
        <v>192000</v>
      </c>
      <c r="M224">
        <v>0</v>
      </c>
      <c r="N224" s="86" t="s">
        <v>1077</v>
      </c>
      <c r="O224" s="71"/>
      <c r="P224" s="71"/>
      <c r="Q224" s="71"/>
      <c r="R224" s="71"/>
      <c r="S224" s="71"/>
    </row>
    <row r="225" spans="1:19" x14ac:dyDescent="0.3">
      <c r="A225" s="86" t="s">
        <v>1078</v>
      </c>
      <c r="B225" s="86" t="s">
        <v>47</v>
      </c>
      <c r="C225" s="86" t="s">
        <v>1040</v>
      </c>
      <c r="D225" s="86" t="s">
        <v>1042</v>
      </c>
      <c r="E225" s="86" t="s">
        <v>1041</v>
      </c>
      <c r="F225" s="86" t="s">
        <v>47</v>
      </c>
      <c r="G225" s="86" t="s">
        <v>48</v>
      </c>
      <c r="H225" s="86" t="s">
        <v>141</v>
      </c>
      <c r="I225">
        <v>0</v>
      </c>
      <c r="J225">
        <v>241000</v>
      </c>
      <c r="K225">
        <v>49000</v>
      </c>
      <c r="L225">
        <v>192000</v>
      </c>
      <c r="M225">
        <v>0</v>
      </c>
      <c r="N225" s="86" t="s">
        <v>1077</v>
      </c>
      <c r="O225" s="71"/>
      <c r="P225" s="71"/>
      <c r="Q225" s="71"/>
      <c r="R225" s="71"/>
      <c r="S225" s="71"/>
    </row>
    <row r="226" spans="1:19" x14ac:dyDescent="0.3">
      <c r="A226" s="86" t="s">
        <v>1079</v>
      </c>
      <c r="B226" s="86" t="s">
        <v>47</v>
      </c>
      <c r="C226" s="86" t="s">
        <v>56</v>
      </c>
      <c r="D226" s="86" t="s">
        <v>58</v>
      </c>
      <c r="E226" s="86" t="s">
        <v>57</v>
      </c>
      <c r="F226" s="86" t="s">
        <v>47</v>
      </c>
      <c r="G226" s="86" t="s">
        <v>48</v>
      </c>
      <c r="H226" s="86" t="s">
        <v>141</v>
      </c>
      <c r="I226">
        <v>0</v>
      </c>
      <c r="J226">
        <v>0</v>
      </c>
      <c r="K226">
        <v>0</v>
      </c>
      <c r="L226">
        <v>0</v>
      </c>
      <c r="M226">
        <v>0</v>
      </c>
      <c r="N226" s="86" t="s">
        <v>1077</v>
      </c>
      <c r="O226" s="71"/>
      <c r="P226" s="71"/>
      <c r="Q226" s="71"/>
      <c r="R226" s="71"/>
      <c r="S226" s="71"/>
    </row>
    <row r="227" spans="1:19" x14ac:dyDescent="0.3">
      <c r="A227" s="86" t="s">
        <v>1079</v>
      </c>
      <c r="B227" s="86" t="s">
        <v>47</v>
      </c>
      <c r="C227" s="86" t="s">
        <v>195</v>
      </c>
      <c r="D227" s="86" t="s">
        <v>197</v>
      </c>
      <c r="E227" s="86" t="s">
        <v>196</v>
      </c>
      <c r="F227" s="86" t="s">
        <v>47</v>
      </c>
      <c r="G227" s="86" t="s">
        <v>48</v>
      </c>
      <c r="H227" s="86" t="s">
        <v>141</v>
      </c>
      <c r="I227">
        <v>0</v>
      </c>
      <c r="J227">
        <v>0</v>
      </c>
      <c r="K227">
        <v>0</v>
      </c>
      <c r="L227">
        <v>0</v>
      </c>
      <c r="M227">
        <v>0</v>
      </c>
      <c r="N227" s="86" t="s">
        <v>1077</v>
      </c>
      <c r="O227" s="71"/>
      <c r="P227" s="71"/>
      <c r="Q227" s="71"/>
      <c r="R227" s="71"/>
      <c r="S227" s="71"/>
    </row>
    <row r="228" spans="1:19" x14ac:dyDescent="0.3">
      <c r="A228" s="86" t="s">
        <v>1079</v>
      </c>
      <c r="B228" s="86" t="s">
        <v>47</v>
      </c>
      <c r="C228" s="86" t="s">
        <v>252</v>
      </c>
      <c r="D228" s="86" t="s">
        <v>254</v>
      </c>
      <c r="E228" s="86" t="s">
        <v>253</v>
      </c>
      <c r="F228" s="86" t="s">
        <v>47</v>
      </c>
      <c r="G228" s="86" t="s">
        <v>48</v>
      </c>
      <c r="H228" s="86" t="s">
        <v>141</v>
      </c>
      <c r="I228">
        <v>1430000</v>
      </c>
      <c r="J228">
        <v>0</v>
      </c>
      <c r="K228">
        <v>0</v>
      </c>
      <c r="L228">
        <v>1430000</v>
      </c>
      <c r="M228">
        <v>0</v>
      </c>
      <c r="N228" s="86" t="s">
        <v>1077</v>
      </c>
      <c r="O228" s="71"/>
      <c r="P228" s="71"/>
      <c r="Q228" s="71"/>
      <c r="R228" s="71"/>
      <c r="S228" s="71"/>
    </row>
    <row r="229" spans="1:19" x14ac:dyDescent="0.3">
      <c r="A229" s="86" t="s">
        <v>1079</v>
      </c>
      <c r="B229" s="86" t="s">
        <v>47</v>
      </c>
      <c r="C229" s="86" t="s">
        <v>318</v>
      </c>
      <c r="D229" s="86" t="s">
        <v>320</v>
      </c>
      <c r="E229" s="86" t="s">
        <v>319</v>
      </c>
      <c r="F229" s="86" t="s">
        <v>47</v>
      </c>
      <c r="G229" s="86" t="s">
        <v>48</v>
      </c>
      <c r="H229" s="86" t="s">
        <v>141</v>
      </c>
      <c r="I229">
        <v>258903</v>
      </c>
      <c r="J229">
        <v>239000</v>
      </c>
      <c r="K229">
        <v>0</v>
      </c>
      <c r="L229">
        <v>497903</v>
      </c>
      <c r="M229">
        <v>0</v>
      </c>
      <c r="N229" s="86" t="s">
        <v>1077</v>
      </c>
      <c r="O229" s="71"/>
      <c r="P229" s="71"/>
      <c r="Q229" s="71"/>
      <c r="R229" s="71"/>
      <c r="S229" s="71"/>
    </row>
    <row r="230" spans="1:19" x14ac:dyDescent="0.3">
      <c r="A230" s="86" t="s">
        <v>1079</v>
      </c>
      <c r="B230" s="86" t="s">
        <v>47</v>
      </c>
      <c r="C230" s="86" t="s">
        <v>327</v>
      </c>
      <c r="D230" s="86" t="s">
        <v>329</v>
      </c>
      <c r="E230" s="86" t="s">
        <v>328</v>
      </c>
      <c r="F230" s="86" t="s">
        <v>47</v>
      </c>
      <c r="G230" s="86" t="s">
        <v>48</v>
      </c>
      <c r="H230" s="86" t="s">
        <v>141</v>
      </c>
      <c r="I230">
        <v>38728</v>
      </c>
      <c r="J230">
        <v>522000</v>
      </c>
      <c r="K230">
        <v>0</v>
      </c>
      <c r="L230">
        <v>560728</v>
      </c>
      <c r="M230">
        <v>0</v>
      </c>
      <c r="N230" s="86" t="s">
        <v>1077</v>
      </c>
      <c r="O230" s="71"/>
      <c r="P230" s="71"/>
      <c r="Q230" s="71"/>
      <c r="R230" s="71"/>
      <c r="S230" s="71"/>
    </row>
    <row r="231" spans="1:19" x14ac:dyDescent="0.3">
      <c r="A231" s="86" t="s">
        <v>1079</v>
      </c>
      <c r="B231" s="86" t="s">
        <v>47</v>
      </c>
      <c r="C231" s="86" t="s">
        <v>863</v>
      </c>
      <c r="D231" s="86" t="s">
        <v>865</v>
      </c>
      <c r="E231" s="86" t="s">
        <v>864</v>
      </c>
      <c r="F231" s="86" t="s">
        <v>47</v>
      </c>
      <c r="G231" s="86" t="s">
        <v>48</v>
      </c>
      <c r="H231" s="86" t="s">
        <v>141</v>
      </c>
      <c r="I231">
        <v>0</v>
      </c>
      <c r="J231">
        <v>0</v>
      </c>
      <c r="K231">
        <v>0</v>
      </c>
      <c r="L231">
        <v>0</v>
      </c>
      <c r="M231">
        <v>0</v>
      </c>
      <c r="N231" s="86" t="s">
        <v>1077</v>
      </c>
      <c r="O231" s="71"/>
      <c r="P231" s="71"/>
      <c r="Q231" s="71"/>
      <c r="R231" s="71"/>
      <c r="S231" s="71"/>
    </row>
    <row r="232" spans="1:19" x14ac:dyDescent="0.3">
      <c r="A232" s="86" t="s">
        <v>1080</v>
      </c>
      <c r="B232" s="86" t="s">
        <v>47</v>
      </c>
      <c r="C232" s="86" t="s">
        <v>753</v>
      </c>
      <c r="D232" s="86" t="s">
        <v>755</v>
      </c>
      <c r="E232" s="86" t="s">
        <v>754</v>
      </c>
      <c r="F232" s="86" t="s">
        <v>47</v>
      </c>
      <c r="G232" s="86" t="s">
        <v>48</v>
      </c>
      <c r="H232" s="86" t="s">
        <v>141</v>
      </c>
      <c r="I232">
        <v>0</v>
      </c>
      <c r="J232">
        <v>0</v>
      </c>
      <c r="K232">
        <v>0</v>
      </c>
      <c r="L232">
        <v>0</v>
      </c>
      <c r="M232">
        <v>0</v>
      </c>
      <c r="N232" s="86" t="s">
        <v>1077</v>
      </c>
      <c r="O232" s="71"/>
      <c r="P232" s="71"/>
      <c r="Q232" s="71"/>
      <c r="R232" s="71"/>
      <c r="S232" s="71"/>
    </row>
    <row r="233" spans="1:19" x14ac:dyDescent="0.3">
      <c r="A233" s="86" t="s">
        <v>1081</v>
      </c>
      <c r="B233" s="86" t="s">
        <v>47</v>
      </c>
      <c r="C233" s="86" t="s">
        <v>56</v>
      </c>
      <c r="D233" s="86" t="s">
        <v>58</v>
      </c>
      <c r="E233" s="86" t="s">
        <v>57</v>
      </c>
      <c r="F233" s="86" t="s">
        <v>47</v>
      </c>
      <c r="G233" s="86" t="s">
        <v>48</v>
      </c>
      <c r="H233" s="86" t="s">
        <v>141</v>
      </c>
      <c r="I233">
        <v>667322</v>
      </c>
      <c r="J233">
        <v>360009</v>
      </c>
      <c r="K233">
        <v>349366</v>
      </c>
      <c r="L233">
        <v>677965</v>
      </c>
      <c r="M233">
        <v>0</v>
      </c>
      <c r="N233" s="86" t="s">
        <v>1077</v>
      </c>
      <c r="O233" s="71"/>
      <c r="P233" s="71"/>
      <c r="Q233" s="71"/>
      <c r="R233" s="71"/>
      <c r="S233" s="71"/>
    </row>
    <row r="234" spans="1:19" x14ac:dyDescent="0.3">
      <c r="A234" s="86" t="s">
        <v>1081</v>
      </c>
      <c r="B234" s="86" t="s">
        <v>47</v>
      </c>
      <c r="C234" s="86" t="s">
        <v>655</v>
      </c>
      <c r="D234" s="86" t="s">
        <v>657</v>
      </c>
      <c r="E234" s="86" t="s">
        <v>656</v>
      </c>
      <c r="F234" s="86" t="s">
        <v>47</v>
      </c>
      <c r="G234" s="86" t="s">
        <v>48</v>
      </c>
      <c r="H234" s="86" t="s">
        <v>141</v>
      </c>
      <c r="I234">
        <v>29386</v>
      </c>
      <c r="J234">
        <v>0</v>
      </c>
      <c r="K234">
        <v>0</v>
      </c>
      <c r="L234">
        <v>29386</v>
      </c>
      <c r="M234">
        <v>0</v>
      </c>
      <c r="N234" s="86" t="s">
        <v>1077</v>
      </c>
      <c r="O234" s="71"/>
      <c r="P234" s="71"/>
      <c r="Q234" s="71"/>
      <c r="R234" s="71"/>
      <c r="S234" s="71"/>
    </row>
    <row r="235" spans="1:19" x14ac:dyDescent="0.3">
      <c r="A235" s="86" t="s">
        <v>1081</v>
      </c>
      <c r="B235" s="86" t="s">
        <v>47</v>
      </c>
      <c r="C235" s="86" t="s">
        <v>672</v>
      </c>
      <c r="D235" s="86" t="s">
        <v>674</v>
      </c>
      <c r="E235" s="86" t="s">
        <v>673</v>
      </c>
      <c r="F235" s="86" t="s">
        <v>47</v>
      </c>
      <c r="G235" s="86" t="s">
        <v>48</v>
      </c>
      <c r="H235" s="86" t="s">
        <v>141</v>
      </c>
      <c r="I235">
        <v>30966</v>
      </c>
      <c r="J235">
        <v>0</v>
      </c>
      <c r="K235">
        <v>0</v>
      </c>
      <c r="L235">
        <v>30966</v>
      </c>
      <c r="M235">
        <v>0</v>
      </c>
      <c r="N235" s="86" t="s">
        <v>1077</v>
      </c>
      <c r="O235" s="71"/>
      <c r="P235" s="71"/>
      <c r="Q235" s="71"/>
      <c r="R235" s="71"/>
      <c r="S235" s="71"/>
    </row>
    <row r="236" spans="1:19" x14ac:dyDescent="0.3">
      <c r="A236" s="86" t="s">
        <v>1081</v>
      </c>
      <c r="B236" s="86" t="s">
        <v>47</v>
      </c>
      <c r="C236" s="86" t="s">
        <v>681</v>
      </c>
      <c r="D236" s="86" t="s">
        <v>683</v>
      </c>
      <c r="E236" s="86" t="s">
        <v>682</v>
      </c>
      <c r="F236" s="86" t="s">
        <v>47</v>
      </c>
      <c r="G236" s="86" t="s">
        <v>48</v>
      </c>
      <c r="H236" s="86" t="s">
        <v>141</v>
      </c>
      <c r="I236">
        <v>7397</v>
      </c>
      <c r="J236">
        <v>9600</v>
      </c>
      <c r="K236">
        <v>8315</v>
      </c>
      <c r="L236">
        <v>8682</v>
      </c>
      <c r="M236">
        <v>0</v>
      </c>
      <c r="N236" s="86" t="s">
        <v>1077</v>
      </c>
      <c r="O236" s="71"/>
      <c r="P236" s="71"/>
      <c r="Q236" s="71"/>
      <c r="R236" s="71"/>
      <c r="S236" s="71"/>
    </row>
    <row r="237" spans="1:19" x14ac:dyDescent="0.3">
      <c r="A237" s="86" t="s">
        <v>1081</v>
      </c>
      <c r="B237" s="86" t="s">
        <v>47</v>
      </c>
      <c r="C237" s="86" t="s">
        <v>774</v>
      </c>
      <c r="D237" s="86" t="s">
        <v>776</v>
      </c>
      <c r="E237" s="86" t="s">
        <v>775</v>
      </c>
      <c r="F237" s="86" t="s">
        <v>47</v>
      </c>
      <c r="G237" s="86" t="s">
        <v>48</v>
      </c>
      <c r="H237" s="86" t="s">
        <v>141</v>
      </c>
      <c r="I237">
        <v>33785</v>
      </c>
      <c r="J237">
        <v>0</v>
      </c>
      <c r="K237">
        <v>0</v>
      </c>
      <c r="L237">
        <v>33785</v>
      </c>
      <c r="M237">
        <v>0</v>
      </c>
      <c r="N237" s="86" t="s">
        <v>1077</v>
      </c>
      <c r="O237" s="71"/>
      <c r="P237" s="71"/>
      <c r="Q237" s="71"/>
      <c r="R237" s="71"/>
      <c r="S237" s="71"/>
    </row>
    <row r="238" spans="1:19" x14ac:dyDescent="0.3">
      <c r="A238" s="86" t="s">
        <v>1081</v>
      </c>
      <c r="B238" s="86" t="s">
        <v>47</v>
      </c>
      <c r="C238" s="86" t="s">
        <v>780</v>
      </c>
      <c r="D238" s="86" t="s">
        <v>782</v>
      </c>
      <c r="E238" s="86" t="s">
        <v>781</v>
      </c>
      <c r="F238" s="86" t="s">
        <v>47</v>
      </c>
      <c r="G238" s="86" t="s">
        <v>48</v>
      </c>
      <c r="H238" s="86" t="s">
        <v>141</v>
      </c>
      <c r="I238">
        <v>8239</v>
      </c>
      <c r="J238">
        <v>0</v>
      </c>
      <c r="K238">
        <v>0</v>
      </c>
      <c r="L238">
        <v>8239</v>
      </c>
      <c r="M238">
        <v>0</v>
      </c>
      <c r="N238" s="86" t="s">
        <v>1077</v>
      </c>
      <c r="O238" s="71"/>
      <c r="P238" s="71"/>
      <c r="Q238" s="71"/>
      <c r="R238" s="71"/>
      <c r="S238" s="71"/>
    </row>
    <row r="239" spans="1:19" x14ac:dyDescent="0.3">
      <c r="A239" s="86" t="s">
        <v>1081</v>
      </c>
      <c r="B239" s="86" t="s">
        <v>47</v>
      </c>
      <c r="C239" s="86" t="s">
        <v>819</v>
      </c>
      <c r="D239" s="86" t="s">
        <v>821</v>
      </c>
      <c r="E239" s="86" t="s">
        <v>820</v>
      </c>
      <c r="F239" s="86" t="s">
        <v>47</v>
      </c>
      <c r="G239" s="86" t="s">
        <v>48</v>
      </c>
      <c r="H239" s="86" t="s">
        <v>141</v>
      </c>
      <c r="I239">
        <v>9110</v>
      </c>
      <c r="J239">
        <v>0</v>
      </c>
      <c r="K239">
        <v>2218</v>
      </c>
      <c r="L239">
        <v>6892</v>
      </c>
      <c r="M239">
        <v>0</v>
      </c>
      <c r="N239" s="86" t="s">
        <v>1077</v>
      </c>
      <c r="O239" s="71"/>
      <c r="P239" s="71"/>
      <c r="Q239" s="71"/>
      <c r="R239" s="71"/>
      <c r="S239" s="71"/>
    </row>
    <row r="240" spans="1:19" x14ac:dyDescent="0.3">
      <c r="A240" s="86" t="s">
        <v>1081</v>
      </c>
      <c r="B240" s="86" t="s">
        <v>47</v>
      </c>
      <c r="C240" s="86" t="s">
        <v>822</v>
      </c>
      <c r="D240" s="86" t="s">
        <v>824</v>
      </c>
      <c r="E240" s="86" t="s">
        <v>823</v>
      </c>
      <c r="F240" s="86" t="s">
        <v>47</v>
      </c>
      <c r="G240" s="86" t="s">
        <v>48</v>
      </c>
      <c r="H240" s="86" t="s">
        <v>141</v>
      </c>
      <c r="I240">
        <v>11557</v>
      </c>
      <c r="J240">
        <v>19200</v>
      </c>
      <c r="K240">
        <v>15799</v>
      </c>
      <c r="L240">
        <v>14958</v>
      </c>
      <c r="M240">
        <v>0</v>
      </c>
      <c r="N240" s="86" t="s">
        <v>1077</v>
      </c>
      <c r="O240" s="71"/>
      <c r="P240" s="71"/>
      <c r="Q240" s="71"/>
      <c r="R240" s="71"/>
      <c r="S240" s="71"/>
    </row>
    <row r="241" spans="1:19" x14ac:dyDescent="0.3">
      <c r="A241" s="86" t="s">
        <v>1081</v>
      </c>
      <c r="B241" s="86" t="s">
        <v>47</v>
      </c>
      <c r="C241" s="86" t="s">
        <v>834</v>
      </c>
      <c r="D241" s="86" t="s">
        <v>836</v>
      </c>
      <c r="E241" s="86" t="s">
        <v>835</v>
      </c>
      <c r="F241" s="86" t="s">
        <v>47</v>
      </c>
      <c r="G241" s="86" t="s">
        <v>48</v>
      </c>
      <c r="H241" s="86" t="s">
        <v>141</v>
      </c>
      <c r="I241">
        <v>13550</v>
      </c>
      <c r="J241">
        <v>141467</v>
      </c>
      <c r="K241">
        <v>114284</v>
      </c>
      <c r="L241">
        <v>40733</v>
      </c>
      <c r="M241">
        <v>0</v>
      </c>
      <c r="N241" s="86" t="s">
        <v>1077</v>
      </c>
      <c r="O241" s="71"/>
      <c r="P241" s="71"/>
      <c r="Q241" s="71"/>
      <c r="R241" s="71"/>
      <c r="S241" s="71"/>
    </row>
    <row r="242" spans="1:19" x14ac:dyDescent="0.3">
      <c r="A242" s="86" t="s">
        <v>1081</v>
      </c>
      <c r="B242" s="86" t="s">
        <v>47</v>
      </c>
      <c r="C242" s="86" t="s">
        <v>837</v>
      </c>
      <c r="D242" s="86" t="s">
        <v>839</v>
      </c>
      <c r="E242" s="86" t="s">
        <v>838</v>
      </c>
      <c r="F242" s="86" t="s">
        <v>47</v>
      </c>
      <c r="G242" s="86" t="s">
        <v>48</v>
      </c>
      <c r="H242" s="86" t="s">
        <v>141</v>
      </c>
      <c r="I242">
        <v>9600</v>
      </c>
      <c r="J242">
        <v>9600</v>
      </c>
      <c r="K242">
        <v>15153</v>
      </c>
      <c r="L242">
        <v>4047</v>
      </c>
      <c r="M242">
        <v>0</v>
      </c>
      <c r="N242" s="86" t="s">
        <v>1077</v>
      </c>
      <c r="O242" s="71"/>
      <c r="P242" s="71"/>
      <c r="Q242" s="71"/>
      <c r="R242" s="71"/>
      <c r="S242" s="71"/>
    </row>
    <row r="243" spans="1:19" x14ac:dyDescent="0.3">
      <c r="A243" s="86" t="s">
        <v>1081</v>
      </c>
      <c r="B243" s="86" t="s">
        <v>47</v>
      </c>
      <c r="C243" s="86" t="s">
        <v>840</v>
      </c>
      <c r="D243" s="86" t="s">
        <v>842</v>
      </c>
      <c r="E243" s="86" t="s">
        <v>841</v>
      </c>
      <c r="F243" s="86" t="s">
        <v>47</v>
      </c>
      <c r="G243" s="86" t="s">
        <v>48</v>
      </c>
      <c r="H243" s="86" t="s">
        <v>141</v>
      </c>
      <c r="I243">
        <v>10143</v>
      </c>
      <c r="J243">
        <v>28800</v>
      </c>
      <c r="K243">
        <v>21657</v>
      </c>
      <c r="L243">
        <v>17286</v>
      </c>
      <c r="M243">
        <v>0</v>
      </c>
      <c r="N243" s="86" t="s">
        <v>1077</v>
      </c>
      <c r="O243" s="71"/>
      <c r="P243" s="71"/>
      <c r="Q243" s="71"/>
      <c r="R243" s="71"/>
      <c r="S243" s="71"/>
    </row>
    <row r="244" spans="1:19" x14ac:dyDescent="0.3">
      <c r="A244" s="86" t="s">
        <v>1081</v>
      </c>
      <c r="B244" s="86" t="s">
        <v>47</v>
      </c>
      <c r="C244" s="86" t="s">
        <v>846</v>
      </c>
      <c r="D244" s="86" t="s">
        <v>848</v>
      </c>
      <c r="E244" s="86" t="s">
        <v>847</v>
      </c>
      <c r="F244" s="86" t="s">
        <v>47</v>
      </c>
      <c r="G244" s="86" t="s">
        <v>48</v>
      </c>
      <c r="H244" s="86" t="s">
        <v>141</v>
      </c>
      <c r="I244">
        <v>4917</v>
      </c>
      <c r="J244">
        <v>0</v>
      </c>
      <c r="K244">
        <v>1835</v>
      </c>
      <c r="L244">
        <v>3082</v>
      </c>
      <c r="M244">
        <v>0</v>
      </c>
      <c r="N244" s="86" t="s">
        <v>1077</v>
      </c>
      <c r="O244" s="71"/>
      <c r="P244" s="71"/>
      <c r="Q244" s="71"/>
      <c r="R244" s="71"/>
      <c r="S244" s="71"/>
    </row>
    <row r="245" spans="1:19" x14ac:dyDescent="0.3">
      <c r="A245" s="86" t="s">
        <v>1081</v>
      </c>
      <c r="B245" s="86" t="s">
        <v>47</v>
      </c>
      <c r="C245" s="86" t="s">
        <v>849</v>
      </c>
      <c r="D245" s="86" t="s">
        <v>851</v>
      </c>
      <c r="E245" s="86" t="s">
        <v>850</v>
      </c>
      <c r="F245" s="86" t="s">
        <v>47</v>
      </c>
      <c r="G245" s="86" t="s">
        <v>48</v>
      </c>
      <c r="H245" s="86" t="s">
        <v>141</v>
      </c>
      <c r="I245">
        <v>7923</v>
      </c>
      <c r="J245">
        <v>0</v>
      </c>
      <c r="K245">
        <v>1474</v>
      </c>
      <c r="L245">
        <v>6449</v>
      </c>
      <c r="M245">
        <v>0</v>
      </c>
      <c r="N245" s="86" t="s">
        <v>1077</v>
      </c>
      <c r="O245" s="71"/>
      <c r="P245" s="71"/>
      <c r="Q245" s="71"/>
      <c r="R245" s="71"/>
      <c r="S245" s="71"/>
    </row>
    <row r="246" spans="1:19" x14ac:dyDescent="0.3">
      <c r="A246" s="86" t="s">
        <v>1081</v>
      </c>
      <c r="B246" s="86" t="s">
        <v>47</v>
      </c>
      <c r="C246" s="86" t="s">
        <v>965</v>
      </c>
      <c r="D246" s="86" t="s">
        <v>967</v>
      </c>
      <c r="E246" s="86" t="s">
        <v>966</v>
      </c>
      <c r="F246" s="86" t="s">
        <v>47</v>
      </c>
      <c r="G246" s="86" t="s">
        <v>48</v>
      </c>
      <c r="H246" s="86" t="s">
        <v>141</v>
      </c>
      <c r="I246">
        <v>0</v>
      </c>
      <c r="J246">
        <v>0</v>
      </c>
      <c r="K246">
        <v>0</v>
      </c>
      <c r="L246">
        <v>0</v>
      </c>
      <c r="M246">
        <v>0</v>
      </c>
      <c r="N246" s="86" t="s">
        <v>1077</v>
      </c>
      <c r="O246" s="71"/>
      <c r="P246" s="71"/>
      <c r="Q246" s="71"/>
      <c r="R246" s="71"/>
      <c r="S246" s="71"/>
    </row>
    <row r="247" spans="1:19" x14ac:dyDescent="0.3">
      <c r="A247" s="86" t="s">
        <v>1081</v>
      </c>
      <c r="B247" s="86" t="s">
        <v>47</v>
      </c>
      <c r="C247" s="86" t="s">
        <v>1016</v>
      </c>
      <c r="D247" s="86" t="s">
        <v>1018</v>
      </c>
      <c r="E247" s="86" t="s">
        <v>1017</v>
      </c>
      <c r="F247" s="86" t="s">
        <v>47</v>
      </c>
      <c r="G247" s="86" t="s">
        <v>48</v>
      </c>
      <c r="H247" s="86" t="s">
        <v>141</v>
      </c>
      <c r="I247">
        <v>165719</v>
      </c>
      <c r="J247">
        <v>784315</v>
      </c>
      <c r="K247">
        <v>891043</v>
      </c>
      <c r="L247">
        <v>58991</v>
      </c>
      <c r="M247">
        <v>0</v>
      </c>
      <c r="N247" s="86" t="s">
        <v>1077</v>
      </c>
      <c r="O247" s="71"/>
      <c r="P247" s="71"/>
      <c r="Q247" s="71"/>
      <c r="R247" s="71"/>
      <c r="S247" s="71"/>
    </row>
    <row r="248" spans="1:19" x14ac:dyDescent="0.3">
      <c r="A248" s="86" t="s">
        <v>1082</v>
      </c>
      <c r="B248" s="86" t="s">
        <v>47</v>
      </c>
      <c r="C248" s="86" t="s">
        <v>56</v>
      </c>
      <c r="D248" s="86" t="s">
        <v>58</v>
      </c>
      <c r="E248" s="86" t="s">
        <v>57</v>
      </c>
      <c r="F248" s="86" t="s">
        <v>47</v>
      </c>
      <c r="G248" s="86" t="s">
        <v>48</v>
      </c>
      <c r="H248" s="86" t="s">
        <v>141</v>
      </c>
      <c r="I248">
        <v>0</v>
      </c>
      <c r="J248">
        <v>0</v>
      </c>
      <c r="K248">
        <v>0</v>
      </c>
      <c r="L248">
        <v>0</v>
      </c>
      <c r="M248">
        <v>0</v>
      </c>
      <c r="N248" s="86" t="s">
        <v>1077</v>
      </c>
      <c r="O248" s="71"/>
      <c r="P248" s="71"/>
      <c r="Q248" s="71"/>
      <c r="R248" s="71"/>
      <c r="S248" s="71"/>
    </row>
    <row r="249" spans="1:19" x14ac:dyDescent="0.3">
      <c r="A249" s="86" t="s">
        <v>1082</v>
      </c>
      <c r="B249" s="86" t="s">
        <v>47</v>
      </c>
      <c r="C249" s="86" t="s">
        <v>59</v>
      </c>
      <c r="D249" s="86" t="s">
        <v>61</v>
      </c>
      <c r="E249" s="86" t="s">
        <v>60</v>
      </c>
      <c r="F249" s="86" t="s">
        <v>47</v>
      </c>
      <c r="G249" s="86" t="s">
        <v>48</v>
      </c>
      <c r="H249" s="86" t="s">
        <v>141</v>
      </c>
      <c r="I249">
        <v>89788</v>
      </c>
      <c r="J249">
        <v>0</v>
      </c>
      <c r="K249">
        <v>0</v>
      </c>
      <c r="L249">
        <v>89788</v>
      </c>
      <c r="M249">
        <v>0</v>
      </c>
      <c r="N249" s="86" t="s">
        <v>1077</v>
      </c>
      <c r="O249" s="71"/>
      <c r="P249" s="71"/>
      <c r="Q249" s="71"/>
      <c r="R249" s="71"/>
      <c r="S249" s="71"/>
    </row>
    <row r="250" spans="1:19" x14ac:dyDescent="0.3">
      <c r="A250" s="86" t="s">
        <v>1082</v>
      </c>
      <c r="B250" s="86" t="s">
        <v>47</v>
      </c>
      <c r="C250" s="86" t="s">
        <v>62</v>
      </c>
      <c r="D250" s="86" t="s">
        <v>64</v>
      </c>
      <c r="E250" s="86" t="s">
        <v>63</v>
      </c>
      <c r="F250" s="86" t="s">
        <v>47</v>
      </c>
      <c r="G250" s="86" t="s">
        <v>48</v>
      </c>
      <c r="H250" s="86" t="s">
        <v>141</v>
      </c>
      <c r="I250">
        <v>41911</v>
      </c>
      <c r="J250">
        <v>148000</v>
      </c>
      <c r="K250">
        <v>179545</v>
      </c>
      <c r="L250">
        <v>10366</v>
      </c>
      <c r="M250">
        <v>0</v>
      </c>
      <c r="N250" s="86" t="s">
        <v>1077</v>
      </c>
      <c r="O250" s="71"/>
      <c r="P250" s="71"/>
      <c r="Q250" s="71"/>
      <c r="R250" s="71"/>
      <c r="S250" s="71"/>
    </row>
    <row r="251" spans="1:19" x14ac:dyDescent="0.3">
      <c r="A251" s="86" t="s">
        <v>1082</v>
      </c>
      <c r="B251" s="86" t="s">
        <v>47</v>
      </c>
      <c r="C251" s="86" t="s">
        <v>73</v>
      </c>
      <c r="D251" s="86" t="s">
        <v>75</v>
      </c>
      <c r="E251" s="86" t="s">
        <v>74</v>
      </c>
      <c r="F251" s="86" t="s">
        <v>47</v>
      </c>
      <c r="G251" s="86" t="s">
        <v>48</v>
      </c>
      <c r="H251" s="86" t="s">
        <v>141</v>
      </c>
      <c r="I251">
        <v>97483</v>
      </c>
      <c r="J251">
        <v>0</v>
      </c>
      <c r="K251">
        <v>20185</v>
      </c>
      <c r="L251">
        <v>77298</v>
      </c>
      <c r="M251">
        <v>0</v>
      </c>
      <c r="N251" s="86" t="s">
        <v>1077</v>
      </c>
      <c r="O251" s="71"/>
      <c r="P251" s="71"/>
      <c r="Q251" s="71"/>
      <c r="R251" s="71"/>
      <c r="S251" s="71"/>
    </row>
    <row r="252" spans="1:19" x14ac:dyDescent="0.3">
      <c r="A252" s="86" t="s">
        <v>1082</v>
      </c>
      <c r="B252" s="86" t="s">
        <v>47</v>
      </c>
      <c r="C252" s="86" t="s">
        <v>128</v>
      </c>
      <c r="D252" s="86" t="s">
        <v>130</v>
      </c>
      <c r="E252" s="86" t="s">
        <v>129</v>
      </c>
      <c r="F252" s="86" t="s">
        <v>47</v>
      </c>
      <c r="G252" s="86" t="s">
        <v>48</v>
      </c>
      <c r="H252" s="86" t="s">
        <v>141</v>
      </c>
      <c r="I252">
        <v>132465</v>
      </c>
      <c r="J252">
        <v>0</v>
      </c>
      <c r="K252">
        <v>0</v>
      </c>
      <c r="L252">
        <v>132465</v>
      </c>
      <c r="M252">
        <v>0</v>
      </c>
      <c r="N252" s="86" t="s">
        <v>1077</v>
      </c>
      <c r="O252" s="71"/>
      <c r="P252" s="71"/>
      <c r="Q252" s="71"/>
      <c r="R252" s="71"/>
      <c r="S252" s="71"/>
    </row>
    <row r="253" spans="1:19" x14ac:dyDescent="0.3">
      <c r="A253" s="86" t="s">
        <v>1082</v>
      </c>
      <c r="B253" s="86" t="s">
        <v>47</v>
      </c>
      <c r="C253" s="86" t="s">
        <v>143</v>
      </c>
      <c r="D253" s="86" t="s">
        <v>145</v>
      </c>
      <c r="E253" s="86" t="s">
        <v>144</v>
      </c>
      <c r="F253" s="86" t="s">
        <v>47</v>
      </c>
      <c r="G253" s="86" t="s">
        <v>48</v>
      </c>
      <c r="H253" s="86" t="s">
        <v>141</v>
      </c>
      <c r="I253">
        <v>158345</v>
      </c>
      <c r="J253">
        <v>1410000</v>
      </c>
      <c r="K253">
        <v>1463160</v>
      </c>
      <c r="L253">
        <v>105185</v>
      </c>
      <c r="M253">
        <v>0</v>
      </c>
      <c r="N253" s="86" t="s">
        <v>1077</v>
      </c>
      <c r="O253" s="71"/>
      <c r="P253" s="71"/>
      <c r="Q253" s="71"/>
      <c r="R253" s="71"/>
      <c r="S253" s="71"/>
    </row>
    <row r="254" spans="1:19" x14ac:dyDescent="0.3">
      <c r="A254" s="86" t="s">
        <v>1082</v>
      </c>
      <c r="B254" s="86" t="s">
        <v>47</v>
      </c>
      <c r="C254" s="86" t="s">
        <v>149</v>
      </c>
      <c r="D254" s="86" t="s">
        <v>151</v>
      </c>
      <c r="E254" s="86" t="s">
        <v>150</v>
      </c>
      <c r="F254" s="86" t="s">
        <v>47</v>
      </c>
      <c r="G254" s="86" t="s">
        <v>48</v>
      </c>
      <c r="H254" s="86" t="s">
        <v>141</v>
      </c>
      <c r="I254">
        <v>19794</v>
      </c>
      <c r="J254">
        <v>0</v>
      </c>
      <c r="K254">
        <v>0</v>
      </c>
      <c r="L254">
        <v>19794</v>
      </c>
      <c r="M254">
        <v>0</v>
      </c>
      <c r="N254" s="86" t="s">
        <v>1077</v>
      </c>
      <c r="O254" s="71"/>
      <c r="P254" s="71"/>
      <c r="Q254" s="71"/>
      <c r="R254" s="71"/>
      <c r="S254" s="71"/>
    </row>
    <row r="255" spans="1:19" x14ac:dyDescent="0.3">
      <c r="A255" s="86" t="s">
        <v>1082</v>
      </c>
      <c r="B255" s="86" t="s">
        <v>47</v>
      </c>
      <c r="C255" s="86" t="s">
        <v>152</v>
      </c>
      <c r="D255" s="86" t="s">
        <v>154</v>
      </c>
      <c r="E255" s="86" t="s">
        <v>153</v>
      </c>
      <c r="F255" s="86" t="s">
        <v>47</v>
      </c>
      <c r="G255" s="86" t="s">
        <v>48</v>
      </c>
      <c r="H255" s="86" t="s">
        <v>141</v>
      </c>
      <c r="I255">
        <v>31107</v>
      </c>
      <c r="J255">
        <v>0</v>
      </c>
      <c r="K255">
        <v>20880</v>
      </c>
      <c r="L255">
        <v>10227</v>
      </c>
      <c r="M255">
        <v>0</v>
      </c>
      <c r="N255" s="86" t="s">
        <v>1077</v>
      </c>
      <c r="O255" s="71"/>
      <c r="P255" s="71"/>
      <c r="Q255" s="71"/>
      <c r="R255" s="71"/>
      <c r="S255" s="71"/>
    </row>
    <row r="256" spans="1:19" x14ac:dyDescent="0.3">
      <c r="A256" s="86" t="s">
        <v>1082</v>
      </c>
      <c r="B256" s="86" t="s">
        <v>47</v>
      </c>
      <c r="C256" s="86" t="s">
        <v>177</v>
      </c>
      <c r="D256" s="86" t="s">
        <v>179</v>
      </c>
      <c r="E256" s="86" t="s">
        <v>178</v>
      </c>
      <c r="F256" s="86" t="s">
        <v>47</v>
      </c>
      <c r="G256" s="86" t="s">
        <v>48</v>
      </c>
      <c r="H256" s="86" t="s">
        <v>141</v>
      </c>
      <c r="I256">
        <v>103030</v>
      </c>
      <c r="J256">
        <v>294000</v>
      </c>
      <c r="K256">
        <v>195360</v>
      </c>
      <c r="L256">
        <v>201670</v>
      </c>
      <c r="M256">
        <v>0</v>
      </c>
      <c r="N256" s="86" t="s">
        <v>1077</v>
      </c>
      <c r="O256" s="71"/>
      <c r="P256" s="71"/>
      <c r="Q256" s="71"/>
      <c r="R256" s="71"/>
      <c r="S256" s="71"/>
    </row>
    <row r="257" spans="1:19" x14ac:dyDescent="0.3">
      <c r="A257" s="86" t="s">
        <v>1082</v>
      </c>
      <c r="B257" s="86" t="s">
        <v>47</v>
      </c>
      <c r="C257" s="86" t="s">
        <v>183</v>
      </c>
      <c r="D257" s="86" t="s">
        <v>185</v>
      </c>
      <c r="E257" s="86" t="s">
        <v>184</v>
      </c>
      <c r="F257" s="86" t="s">
        <v>47</v>
      </c>
      <c r="G257" s="86" t="s">
        <v>48</v>
      </c>
      <c r="H257" s="86" t="s">
        <v>141</v>
      </c>
      <c r="I257">
        <v>321767</v>
      </c>
      <c r="J257">
        <v>683000</v>
      </c>
      <c r="K257">
        <v>560505</v>
      </c>
      <c r="L257">
        <v>444262</v>
      </c>
      <c r="M257">
        <v>0</v>
      </c>
      <c r="N257" s="86" t="s">
        <v>1077</v>
      </c>
      <c r="O257" s="71"/>
      <c r="P257" s="71"/>
      <c r="Q257" s="71"/>
      <c r="R257" s="71"/>
      <c r="S257" s="71"/>
    </row>
    <row r="258" spans="1:19" x14ac:dyDescent="0.3">
      <c r="A258" s="86" t="s">
        <v>1082</v>
      </c>
      <c r="B258" s="86" t="s">
        <v>47</v>
      </c>
      <c r="C258" s="86" t="s">
        <v>189</v>
      </c>
      <c r="D258" s="86" t="s">
        <v>191</v>
      </c>
      <c r="E258" s="86" t="s">
        <v>190</v>
      </c>
      <c r="F258" s="86" t="s">
        <v>47</v>
      </c>
      <c r="G258" s="86" t="s">
        <v>48</v>
      </c>
      <c r="H258" s="86" t="s">
        <v>141</v>
      </c>
      <c r="I258">
        <v>214585</v>
      </c>
      <c r="J258">
        <v>195000</v>
      </c>
      <c r="K258">
        <v>337210</v>
      </c>
      <c r="L258">
        <v>72375</v>
      </c>
      <c r="M258">
        <v>0</v>
      </c>
      <c r="N258" s="86" t="s">
        <v>1077</v>
      </c>
      <c r="O258" s="71"/>
      <c r="P258" s="71"/>
      <c r="Q258" s="71"/>
      <c r="R258" s="71"/>
      <c r="S258" s="71"/>
    </row>
    <row r="259" spans="1:19" x14ac:dyDescent="0.3">
      <c r="A259" s="86" t="s">
        <v>1082</v>
      </c>
      <c r="B259" s="86" t="s">
        <v>47</v>
      </c>
      <c r="C259" s="86" t="s">
        <v>192</v>
      </c>
      <c r="D259" s="86" t="s">
        <v>194</v>
      </c>
      <c r="E259" s="86" t="s">
        <v>193</v>
      </c>
      <c r="F259" s="86" t="s">
        <v>47</v>
      </c>
      <c r="G259" s="86" t="s">
        <v>48</v>
      </c>
      <c r="H259" s="86" t="s">
        <v>141</v>
      </c>
      <c r="I259">
        <v>193104</v>
      </c>
      <c r="J259">
        <v>0</v>
      </c>
      <c r="K259">
        <v>13385</v>
      </c>
      <c r="L259">
        <v>179719</v>
      </c>
      <c r="M259">
        <v>0</v>
      </c>
      <c r="N259" s="86" t="s">
        <v>1077</v>
      </c>
      <c r="O259" s="71"/>
      <c r="P259" s="71"/>
      <c r="Q259" s="71"/>
      <c r="R259" s="71"/>
      <c r="S259" s="71"/>
    </row>
    <row r="260" spans="1:19" x14ac:dyDescent="0.3">
      <c r="A260" s="86" t="s">
        <v>1082</v>
      </c>
      <c r="B260" s="86" t="s">
        <v>47</v>
      </c>
      <c r="C260" s="86" t="s">
        <v>195</v>
      </c>
      <c r="D260" s="86" t="s">
        <v>197</v>
      </c>
      <c r="E260" s="86" t="s">
        <v>196</v>
      </c>
      <c r="F260" s="86" t="s">
        <v>47</v>
      </c>
      <c r="G260" s="86" t="s">
        <v>48</v>
      </c>
      <c r="H260" s="86" t="s">
        <v>141</v>
      </c>
      <c r="I260">
        <v>842320</v>
      </c>
      <c r="J260">
        <v>3977000</v>
      </c>
      <c r="K260">
        <v>3849574</v>
      </c>
      <c r="L260">
        <v>969746</v>
      </c>
      <c r="M260">
        <v>0</v>
      </c>
      <c r="N260" s="86" t="s">
        <v>1077</v>
      </c>
      <c r="O260" s="71"/>
      <c r="P260" s="71"/>
      <c r="Q260" s="71"/>
      <c r="R260" s="71"/>
      <c r="S260" s="71"/>
    </row>
    <row r="261" spans="1:19" x14ac:dyDescent="0.3">
      <c r="A261" s="86" t="s">
        <v>1082</v>
      </c>
      <c r="B261" s="86" t="s">
        <v>47</v>
      </c>
      <c r="C261" s="86" t="s">
        <v>203</v>
      </c>
      <c r="D261" s="86" t="s">
        <v>205</v>
      </c>
      <c r="E261" s="86" t="s">
        <v>204</v>
      </c>
      <c r="F261" s="86" t="s">
        <v>47</v>
      </c>
      <c r="G261" s="86" t="s">
        <v>48</v>
      </c>
      <c r="H261" s="86" t="s">
        <v>141</v>
      </c>
      <c r="I261">
        <v>66914</v>
      </c>
      <c r="J261">
        <v>96000</v>
      </c>
      <c r="K261">
        <v>41170</v>
      </c>
      <c r="L261">
        <v>121744</v>
      </c>
      <c r="M261">
        <v>0</v>
      </c>
      <c r="N261" s="86" t="s">
        <v>1077</v>
      </c>
      <c r="O261" s="71"/>
      <c r="P261" s="71"/>
      <c r="Q261" s="71"/>
      <c r="R261" s="71"/>
      <c r="S261" s="71"/>
    </row>
    <row r="262" spans="1:19" x14ac:dyDescent="0.3">
      <c r="A262" s="86" t="s">
        <v>1082</v>
      </c>
      <c r="B262" s="86" t="s">
        <v>47</v>
      </c>
      <c r="C262" s="86" t="s">
        <v>209</v>
      </c>
      <c r="D262" s="86" t="s">
        <v>211</v>
      </c>
      <c r="E262" s="86" t="s">
        <v>210</v>
      </c>
      <c r="F262" s="86" t="s">
        <v>47</v>
      </c>
      <c r="G262" s="86" t="s">
        <v>48</v>
      </c>
      <c r="H262" s="86" t="s">
        <v>141</v>
      </c>
      <c r="I262">
        <v>16586</v>
      </c>
      <c r="J262">
        <v>0</v>
      </c>
      <c r="K262">
        <v>0</v>
      </c>
      <c r="L262">
        <v>16586</v>
      </c>
      <c r="M262">
        <v>0</v>
      </c>
      <c r="N262" s="86" t="s">
        <v>1077</v>
      </c>
      <c r="O262" s="71"/>
      <c r="P262" s="71"/>
      <c r="Q262" s="71"/>
      <c r="R262" s="71"/>
      <c r="S262" s="71"/>
    </row>
    <row r="263" spans="1:19" x14ac:dyDescent="0.3">
      <c r="A263" s="86" t="s">
        <v>1082</v>
      </c>
      <c r="B263" s="86" t="s">
        <v>47</v>
      </c>
      <c r="C263" s="86" t="s">
        <v>218</v>
      </c>
      <c r="D263" s="86" t="s">
        <v>220</v>
      </c>
      <c r="E263" s="86" t="s">
        <v>219</v>
      </c>
      <c r="F263" s="86" t="s">
        <v>47</v>
      </c>
      <c r="G263" s="86" t="s">
        <v>48</v>
      </c>
      <c r="H263" s="86" t="s">
        <v>141</v>
      </c>
      <c r="I263">
        <v>0</v>
      </c>
      <c r="J263">
        <v>0</v>
      </c>
      <c r="K263">
        <v>0</v>
      </c>
      <c r="L263">
        <v>0</v>
      </c>
      <c r="M263">
        <v>0</v>
      </c>
      <c r="N263" s="86" t="s">
        <v>1077</v>
      </c>
      <c r="O263" s="71"/>
      <c r="P263" s="71"/>
      <c r="Q263" s="71"/>
      <c r="R263" s="71"/>
      <c r="S263" s="71"/>
    </row>
    <row r="264" spans="1:19" x14ac:dyDescent="0.3">
      <c r="A264" s="86" t="s">
        <v>1082</v>
      </c>
      <c r="B264" s="86" t="s">
        <v>47</v>
      </c>
      <c r="C264" s="86" t="s">
        <v>224</v>
      </c>
      <c r="D264" s="86" t="s">
        <v>226</v>
      </c>
      <c r="E264" s="86" t="s">
        <v>225</v>
      </c>
      <c r="F264" s="86" t="s">
        <v>47</v>
      </c>
      <c r="G264" s="86" t="s">
        <v>48</v>
      </c>
      <c r="H264" s="86" t="s">
        <v>141</v>
      </c>
      <c r="I264">
        <v>12383</v>
      </c>
      <c r="J264">
        <v>0</v>
      </c>
      <c r="K264">
        <v>0</v>
      </c>
      <c r="L264">
        <v>12383</v>
      </c>
      <c r="M264">
        <v>0</v>
      </c>
      <c r="N264" s="86" t="s">
        <v>1077</v>
      </c>
      <c r="O264" s="71"/>
      <c r="P264" s="71"/>
      <c r="Q264" s="71"/>
      <c r="R264" s="71"/>
      <c r="S264" s="71"/>
    </row>
    <row r="265" spans="1:19" x14ac:dyDescent="0.3">
      <c r="A265" s="86" t="s">
        <v>1082</v>
      </c>
      <c r="B265" s="86" t="s">
        <v>47</v>
      </c>
      <c r="C265" s="86" t="s">
        <v>227</v>
      </c>
      <c r="D265" s="86" t="s">
        <v>229</v>
      </c>
      <c r="E265" s="86" t="s">
        <v>228</v>
      </c>
      <c r="F265" s="86" t="s">
        <v>47</v>
      </c>
      <c r="G265" s="86" t="s">
        <v>48</v>
      </c>
      <c r="H265" s="86" t="s">
        <v>141</v>
      </c>
      <c r="I265">
        <v>34835</v>
      </c>
      <c r="J265">
        <v>0</v>
      </c>
      <c r="K265">
        <v>0</v>
      </c>
      <c r="L265">
        <v>34835</v>
      </c>
      <c r="M265">
        <v>0</v>
      </c>
      <c r="N265" s="86" t="s">
        <v>1077</v>
      </c>
      <c r="O265" s="71"/>
      <c r="P265" s="71"/>
      <c r="Q265" s="71"/>
      <c r="R265" s="71"/>
      <c r="S265" s="71"/>
    </row>
    <row r="266" spans="1:19" x14ac:dyDescent="0.3">
      <c r="A266" s="86" t="s">
        <v>1082</v>
      </c>
      <c r="B266" s="86" t="s">
        <v>47</v>
      </c>
      <c r="C266" s="86" t="s">
        <v>230</v>
      </c>
      <c r="D266" s="86" t="s">
        <v>232</v>
      </c>
      <c r="E266" s="86" t="s">
        <v>231</v>
      </c>
      <c r="F266" s="86" t="s">
        <v>47</v>
      </c>
      <c r="G266" s="86" t="s">
        <v>48</v>
      </c>
      <c r="H266" s="86" t="s">
        <v>141</v>
      </c>
      <c r="I266">
        <v>51975</v>
      </c>
      <c r="J266">
        <v>0</v>
      </c>
      <c r="K266">
        <v>0</v>
      </c>
      <c r="L266">
        <v>51975</v>
      </c>
      <c r="M266">
        <v>0</v>
      </c>
      <c r="N266" s="86" t="s">
        <v>1077</v>
      </c>
      <c r="O266" s="71"/>
      <c r="P266" s="71"/>
      <c r="Q266" s="71"/>
      <c r="R266" s="71"/>
      <c r="S266" s="71"/>
    </row>
    <row r="267" spans="1:19" x14ac:dyDescent="0.3">
      <c r="A267" s="86" t="s">
        <v>1082</v>
      </c>
      <c r="B267" s="86" t="s">
        <v>47</v>
      </c>
      <c r="C267" s="86" t="s">
        <v>249</v>
      </c>
      <c r="D267" s="86" t="s">
        <v>251</v>
      </c>
      <c r="E267" s="86" t="s">
        <v>250</v>
      </c>
      <c r="F267" s="86" t="s">
        <v>47</v>
      </c>
      <c r="G267" s="86" t="s">
        <v>48</v>
      </c>
      <c r="H267" s="86" t="s">
        <v>141</v>
      </c>
      <c r="I267">
        <v>57052</v>
      </c>
      <c r="J267">
        <v>0</v>
      </c>
      <c r="K267">
        <v>0</v>
      </c>
      <c r="L267">
        <v>57052</v>
      </c>
      <c r="M267">
        <v>0</v>
      </c>
      <c r="N267" s="86" t="s">
        <v>1077</v>
      </c>
      <c r="O267" s="71"/>
      <c r="P267" s="71"/>
      <c r="Q267" s="71"/>
      <c r="R267" s="71"/>
      <c r="S267" s="71"/>
    </row>
    <row r="268" spans="1:19" x14ac:dyDescent="0.3">
      <c r="A268" s="86" t="s">
        <v>1082</v>
      </c>
      <c r="B268" s="86" t="s">
        <v>47</v>
      </c>
      <c r="C268" s="86" t="s">
        <v>252</v>
      </c>
      <c r="D268" s="86" t="s">
        <v>254</v>
      </c>
      <c r="E268" s="86" t="s">
        <v>253</v>
      </c>
      <c r="F268" s="86" t="s">
        <v>47</v>
      </c>
      <c r="G268" s="86" t="s">
        <v>48</v>
      </c>
      <c r="H268" s="86" t="s">
        <v>141</v>
      </c>
      <c r="I268">
        <v>1002060</v>
      </c>
      <c r="J268">
        <v>3795000</v>
      </c>
      <c r="K268">
        <v>3898840</v>
      </c>
      <c r="L268">
        <v>898220</v>
      </c>
      <c r="M268">
        <v>0</v>
      </c>
      <c r="N268" s="86" t="s">
        <v>1077</v>
      </c>
      <c r="O268" s="71"/>
      <c r="P268" s="71"/>
      <c r="Q268" s="71"/>
      <c r="R268" s="71"/>
      <c r="S268" s="71"/>
    </row>
    <row r="269" spans="1:19" x14ac:dyDescent="0.3">
      <c r="A269" s="86" t="s">
        <v>1082</v>
      </c>
      <c r="B269" s="86" t="s">
        <v>47</v>
      </c>
      <c r="C269" s="86" t="s">
        <v>255</v>
      </c>
      <c r="D269" s="86" t="s">
        <v>257</v>
      </c>
      <c r="E269" s="86" t="s">
        <v>256</v>
      </c>
      <c r="F269" s="86" t="s">
        <v>47</v>
      </c>
      <c r="G269" s="86" t="s">
        <v>48</v>
      </c>
      <c r="H269" s="86" t="s">
        <v>141</v>
      </c>
      <c r="I269">
        <v>117570</v>
      </c>
      <c r="J269">
        <v>0</v>
      </c>
      <c r="K269">
        <v>0</v>
      </c>
      <c r="L269">
        <v>117570</v>
      </c>
      <c r="M269">
        <v>0</v>
      </c>
      <c r="N269" s="86" t="s">
        <v>1077</v>
      </c>
      <c r="O269" s="71"/>
      <c r="P269" s="71"/>
      <c r="Q269" s="71"/>
      <c r="R269" s="71"/>
      <c r="S269" s="71"/>
    </row>
    <row r="270" spans="1:19" x14ac:dyDescent="0.3">
      <c r="A270" s="86" t="s">
        <v>1082</v>
      </c>
      <c r="B270" s="86" t="s">
        <v>47</v>
      </c>
      <c r="C270" s="86" t="s">
        <v>279</v>
      </c>
      <c r="D270" s="86" t="s">
        <v>281</v>
      </c>
      <c r="E270" s="86" t="s">
        <v>280</v>
      </c>
      <c r="F270" s="86" t="s">
        <v>47</v>
      </c>
      <c r="G270" s="86" t="s">
        <v>48</v>
      </c>
      <c r="H270" s="86" t="s">
        <v>141</v>
      </c>
      <c r="I270">
        <v>21034</v>
      </c>
      <c r="J270">
        <v>0</v>
      </c>
      <c r="K270">
        <v>0</v>
      </c>
      <c r="L270">
        <v>21034</v>
      </c>
      <c r="M270">
        <v>0</v>
      </c>
      <c r="N270" s="86" t="s">
        <v>1077</v>
      </c>
      <c r="O270" s="71"/>
      <c r="P270" s="71"/>
      <c r="Q270" s="71"/>
      <c r="R270" s="71"/>
      <c r="S270" s="71"/>
    </row>
    <row r="271" spans="1:19" x14ac:dyDescent="0.3">
      <c r="A271" s="86" t="s">
        <v>1082</v>
      </c>
      <c r="B271" s="86" t="s">
        <v>47</v>
      </c>
      <c r="C271" s="86" t="s">
        <v>282</v>
      </c>
      <c r="D271" s="86" t="s">
        <v>284</v>
      </c>
      <c r="E271" s="86" t="s">
        <v>283</v>
      </c>
      <c r="F271" s="86" t="s">
        <v>47</v>
      </c>
      <c r="G271" s="86" t="s">
        <v>48</v>
      </c>
      <c r="H271" s="86" t="s">
        <v>141</v>
      </c>
      <c r="I271">
        <v>161478</v>
      </c>
      <c r="J271">
        <v>0</v>
      </c>
      <c r="K271">
        <v>4070</v>
      </c>
      <c r="L271">
        <v>157408</v>
      </c>
      <c r="M271">
        <v>0</v>
      </c>
      <c r="N271" s="86" t="s">
        <v>1077</v>
      </c>
      <c r="O271" s="71"/>
      <c r="P271" s="71"/>
      <c r="Q271" s="71"/>
      <c r="R271" s="71"/>
      <c r="S271" s="71"/>
    </row>
    <row r="272" spans="1:19" x14ac:dyDescent="0.3">
      <c r="A272" s="86" t="s">
        <v>1082</v>
      </c>
      <c r="B272" s="86" t="s">
        <v>47</v>
      </c>
      <c r="C272" s="86" t="s">
        <v>285</v>
      </c>
      <c r="D272" s="86" t="s">
        <v>287</v>
      </c>
      <c r="E272" s="86" t="s">
        <v>286</v>
      </c>
      <c r="F272" s="86" t="s">
        <v>47</v>
      </c>
      <c r="G272" s="86" t="s">
        <v>48</v>
      </c>
      <c r="H272" s="86" t="s">
        <v>141</v>
      </c>
      <c r="I272">
        <v>20117</v>
      </c>
      <c r="J272">
        <v>0</v>
      </c>
      <c r="K272">
        <v>0</v>
      </c>
      <c r="L272">
        <v>20117</v>
      </c>
      <c r="M272">
        <v>0</v>
      </c>
      <c r="N272" s="86" t="s">
        <v>1077</v>
      </c>
      <c r="O272" s="71"/>
      <c r="P272" s="71"/>
      <c r="Q272" s="71"/>
      <c r="R272" s="71"/>
      <c r="S272" s="71"/>
    </row>
    <row r="273" spans="1:19" x14ac:dyDescent="0.3">
      <c r="A273" s="86" t="s">
        <v>1082</v>
      </c>
      <c r="B273" s="86" t="s">
        <v>47</v>
      </c>
      <c r="C273" s="86" t="s">
        <v>288</v>
      </c>
      <c r="D273" s="86" t="s">
        <v>290</v>
      </c>
      <c r="E273" s="86" t="s">
        <v>289</v>
      </c>
      <c r="F273" s="86" t="s">
        <v>47</v>
      </c>
      <c r="G273" s="86" t="s">
        <v>48</v>
      </c>
      <c r="H273" s="86" t="s">
        <v>141</v>
      </c>
      <c r="I273">
        <v>36669</v>
      </c>
      <c r="J273">
        <v>0</v>
      </c>
      <c r="K273">
        <v>0</v>
      </c>
      <c r="L273">
        <v>36669</v>
      </c>
      <c r="M273">
        <v>0</v>
      </c>
      <c r="N273" s="86" t="s">
        <v>1077</v>
      </c>
      <c r="O273" s="71"/>
      <c r="P273" s="71"/>
      <c r="Q273" s="71"/>
      <c r="R273" s="71"/>
      <c r="S273" s="71"/>
    </row>
    <row r="274" spans="1:19" x14ac:dyDescent="0.3">
      <c r="A274" s="86" t="s">
        <v>1082</v>
      </c>
      <c r="B274" s="86" t="s">
        <v>47</v>
      </c>
      <c r="C274" s="86" t="s">
        <v>291</v>
      </c>
      <c r="D274" s="86" t="s">
        <v>293</v>
      </c>
      <c r="E274" s="86" t="s">
        <v>292</v>
      </c>
      <c r="F274" s="86" t="s">
        <v>47</v>
      </c>
      <c r="G274" s="86" t="s">
        <v>48</v>
      </c>
      <c r="H274" s="86" t="s">
        <v>141</v>
      </c>
      <c r="I274">
        <v>234915</v>
      </c>
      <c r="J274">
        <v>650000</v>
      </c>
      <c r="K274">
        <v>448150</v>
      </c>
      <c r="L274">
        <v>436765</v>
      </c>
      <c r="M274">
        <v>0</v>
      </c>
      <c r="N274" s="86" t="s">
        <v>1077</v>
      </c>
      <c r="O274" s="71"/>
      <c r="P274" s="71"/>
      <c r="Q274" s="71"/>
      <c r="R274" s="71"/>
      <c r="S274" s="71"/>
    </row>
    <row r="275" spans="1:19" x14ac:dyDescent="0.3">
      <c r="A275" s="86" t="s">
        <v>1082</v>
      </c>
      <c r="B275" s="86" t="s">
        <v>47</v>
      </c>
      <c r="C275" s="86" t="s">
        <v>300</v>
      </c>
      <c r="D275" s="86" t="s">
        <v>302</v>
      </c>
      <c r="E275" s="86" t="s">
        <v>301</v>
      </c>
      <c r="F275" s="86" t="s">
        <v>47</v>
      </c>
      <c r="G275" s="86" t="s">
        <v>48</v>
      </c>
      <c r="H275" s="86" t="s">
        <v>141</v>
      </c>
      <c r="I275">
        <v>72363</v>
      </c>
      <c r="J275">
        <v>0</v>
      </c>
      <c r="K275">
        <v>0</v>
      </c>
      <c r="L275">
        <v>72363</v>
      </c>
      <c r="M275">
        <v>0</v>
      </c>
      <c r="N275" s="86" t="s">
        <v>1077</v>
      </c>
      <c r="O275" s="71"/>
      <c r="P275" s="71"/>
      <c r="Q275" s="71"/>
      <c r="R275" s="71"/>
      <c r="S275" s="71"/>
    </row>
    <row r="276" spans="1:19" x14ac:dyDescent="0.3">
      <c r="A276" s="86" t="s">
        <v>1082</v>
      </c>
      <c r="B276" s="86" t="s">
        <v>47</v>
      </c>
      <c r="C276" s="86" t="s">
        <v>303</v>
      </c>
      <c r="D276" s="86" t="s">
        <v>305</v>
      </c>
      <c r="E276" s="86" t="s">
        <v>304</v>
      </c>
      <c r="F276" s="86" t="s">
        <v>47</v>
      </c>
      <c r="G276" s="86" t="s">
        <v>48</v>
      </c>
      <c r="H276" s="86" t="s">
        <v>141</v>
      </c>
      <c r="I276">
        <v>18648</v>
      </c>
      <c r="J276">
        <v>0</v>
      </c>
      <c r="K276">
        <v>0</v>
      </c>
      <c r="L276">
        <v>18648</v>
      </c>
      <c r="M276">
        <v>0</v>
      </c>
      <c r="N276" s="86" t="s">
        <v>1077</v>
      </c>
      <c r="O276" s="71"/>
      <c r="P276" s="71"/>
      <c r="Q276" s="71"/>
      <c r="R276" s="71"/>
      <c r="S276" s="71"/>
    </row>
    <row r="277" spans="1:19" x14ac:dyDescent="0.3">
      <c r="A277" s="86" t="s">
        <v>1082</v>
      </c>
      <c r="B277" s="86" t="s">
        <v>47</v>
      </c>
      <c r="C277" s="86" t="s">
        <v>306</v>
      </c>
      <c r="D277" s="86" t="s">
        <v>308</v>
      </c>
      <c r="E277" s="86" t="s">
        <v>307</v>
      </c>
      <c r="F277" s="86" t="s">
        <v>47</v>
      </c>
      <c r="G277" s="86" t="s">
        <v>48</v>
      </c>
      <c r="H277" s="86" t="s">
        <v>141</v>
      </c>
      <c r="I277">
        <v>30875</v>
      </c>
      <c r="J277">
        <v>0</v>
      </c>
      <c r="K277">
        <v>0</v>
      </c>
      <c r="L277">
        <v>30875</v>
      </c>
      <c r="M277">
        <v>0</v>
      </c>
      <c r="N277" s="86" t="s">
        <v>1077</v>
      </c>
      <c r="O277" s="71"/>
      <c r="P277" s="71"/>
      <c r="Q277" s="71"/>
      <c r="R277" s="71"/>
      <c r="S277" s="71"/>
    </row>
    <row r="278" spans="1:19" x14ac:dyDescent="0.3">
      <c r="A278" s="86" t="s">
        <v>1082</v>
      </c>
      <c r="B278" s="86" t="s">
        <v>47</v>
      </c>
      <c r="C278" s="86" t="s">
        <v>312</v>
      </c>
      <c r="D278" s="86" t="s">
        <v>314</v>
      </c>
      <c r="E278" s="86" t="s">
        <v>313</v>
      </c>
      <c r="F278" s="86" t="s">
        <v>47</v>
      </c>
      <c r="G278" s="86" t="s">
        <v>48</v>
      </c>
      <c r="H278" s="86" t="s">
        <v>141</v>
      </c>
      <c r="I278">
        <v>5894</v>
      </c>
      <c r="J278">
        <v>0</v>
      </c>
      <c r="K278">
        <v>0</v>
      </c>
      <c r="L278">
        <v>5894</v>
      </c>
      <c r="M278">
        <v>0</v>
      </c>
      <c r="N278" s="86" t="s">
        <v>1077</v>
      </c>
      <c r="O278" s="71"/>
      <c r="P278" s="71"/>
      <c r="Q278" s="71"/>
      <c r="R278" s="71"/>
      <c r="S278" s="71"/>
    </row>
    <row r="279" spans="1:19" x14ac:dyDescent="0.3">
      <c r="A279" s="86" t="s">
        <v>1082</v>
      </c>
      <c r="B279" s="86" t="s">
        <v>47</v>
      </c>
      <c r="C279" s="86" t="s">
        <v>318</v>
      </c>
      <c r="D279" s="86" t="s">
        <v>320</v>
      </c>
      <c r="E279" s="86" t="s">
        <v>319</v>
      </c>
      <c r="F279" s="86" t="s">
        <v>47</v>
      </c>
      <c r="G279" s="86" t="s">
        <v>48</v>
      </c>
      <c r="H279" s="86" t="s">
        <v>141</v>
      </c>
      <c r="I279">
        <v>0</v>
      </c>
      <c r="J279">
        <v>0</v>
      </c>
      <c r="K279">
        <v>0</v>
      </c>
      <c r="L279">
        <v>0</v>
      </c>
      <c r="M279">
        <v>0</v>
      </c>
      <c r="N279" s="86" t="s">
        <v>1077</v>
      </c>
      <c r="O279" s="71"/>
      <c r="P279" s="71"/>
      <c r="Q279" s="71"/>
      <c r="R279" s="71"/>
      <c r="S279" s="71"/>
    </row>
    <row r="280" spans="1:19" x14ac:dyDescent="0.3">
      <c r="A280" s="86" t="s">
        <v>1082</v>
      </c>
      <c r="B280" s="86" t="s">
        <v>47</v>
      </c>
      <c r="C280" s="86" t="s">
        <v>333</v>
      </c>
      <c r="D280" s="86" t="s">
        <v>335</v>
      </c>
      <c r="E280" s="86" t="s">
        <v>334</v>
      </c>
      <c r="F280" s="86" t="s">
        <v>47</v>
      </c>
      <c r="G280" s="86" t="s">
        <v>48</v>
      </c>
      <c r="H280" s="86" t="s">
        <v>141</v>
      </c>
      <c r="I280">
        <v>68513</v>
      </c>
      <c r="J280">
        <v>0</v>
      </c>
      <c r="K280">
        <v>0</v>
      </c>
      <c r="L280">
        <v>68513</v>
      </c>
      <c r="M280">
        <v>0</v>
      </c>
      <c r="N280" s="86" t="s">
        <v>1077</v>
      </c>
      <c r="O280" s="71"/>
      <c r="P280" s="71"/>
      <c r="Q280" s="71"/>
      <c r="R280" s="71"/>
      <c r="S280" s="71"/>
    </row>
    <row r="281" spans="1:19" x14ac:dyDescent="0.3">
      <c r="A281" s="86" t="s">
        <v>1082</v>
      </c>
      <c r="B281" s="86" t="s">
        <v>47</v>
      </c>
      <c r="C281" s="86" t="s">
        <v>336</v>
      </c>
      <c r="D281" s="86" t="s">
        <v>338</v>
      </c>
      <c r="E281" s="86" t="s">
        <v>337</v>
      </c>
      <c r="F281" s="86" t="s">
        <v>47</v>
      </c>
      <c r="G281" s="86" t="s">
        <v>48</v>
      </c>
      <c r="H281" s="86" t="s">
        <v>141</v>
      </c>
      <c r="I281">
        <v>16779</v>
      </c>
      <c r="J281">
        <v>0</v>
      </c>
      <c r="K281">
        <v>0</v>
      </c>
      <c r="L281">
        <v>16779</v>
      </c>
      <c r="M281">
        <v>0</v>
      </c>
      <c r="N281" s="86" t="s">
        <v>1077</v>
      </c>
      <c r="O281" s="71"/>
      <c r="P281" s="71"/>
      <c r="Q281" s="71"/>
      <c r="R281" s="71"/>
      <c r="S281" s="71"/>
    </row>
    <row r="282" spans="1:19" x14ac:dyDescent="0.3">
      <c r="A282" s="86" t="s">
        <v>1082</v>
      </c>
      <c r="B282" s="86" t="s">
        <v>47</v>
      </c>
      <c r="C282" s="86" t="s">
        <v>339</v>
      </c>
      <c r="D282" s="86" t="s">
        <v>341</v>
      </c>
      <c r="E282" s="86" t="s">
        <v>340</v>
      </c>
      <c r="F282" s="86" t="s">
        <v>47</v>
      </c>
      <c r="G282" s="86" t="s">
        <v>48</v>
      </c>
      <c r="H282" s="86" t="s">
        <v>141</v>
      </c>
      <c r="I282">
        <v>10798</v>
      </c>
      <c r="J282">
        <v>0</v>
      </c>
      <c r="K282">
        <v>0</v>
      </c>
      <c r="L282">
        <v>10798</v>
      </c>
      <c r="M282">
        <v>0</v>
      </c>
      <c r="N282" s="86" t="s">
        <v>1077</v>
      </c>
      <c r="O282" s="71"/>
      <c r="P282" s="71"/>
      <c r="Q282" s="71"/>
      <c r="R282" s="71"/>
      <c r="S282" s="71"/>
    </row>
    <row r="283" spans="1:19" x14ac:dyDescent="0.3">
      <c r="A283" s="86" t="s">
        <v>1082</v>
      </c>
      <c r="B283" s="86" t="s">
        <v>47</v>
      </c>
      <c r="C283" s="86" t="s">
        <v>342</v>
      </c>
      <c r="D283" s="86" t="s">
        <v>344</v>
      </c>
      <c r="E283" s="86" t="s">
        <v>1092</v>
      </c>
      <c r="F283" s="86" t="s">
        <v>47</v>
      </c>
      <c r="G283" s="86" t="s">
        <v>48</v>
      </c>
      <c r="H283" s="86" t="s">
        <v>141</v>
      </c>
      <c r="I283">
        <v>138018</v>
      </c>
      <c r="J283">
        <v>96000</v>
      </c>
      <c r="K283">
        <v>116635</v>
      </c>
      <c r="L283">
        <v>117383</v>
      </c>
      <c r="M283">
        <v>0</v>
      </c>
      <c r="N283" s="86" t="s">
        <v>1077</v>
      </c>
      <c r="O283" s="71"/>
      <c r="P283" s="71"/>
      <c r="Q283" s="71"/>
      <c r="R283" s="71"/>
      <c r="S283" s="71"/>
    </row>
    <row r="284" spans="1:19" x14ac:dyDescent="0.3">
      <c r="A284" s="86" t="s">
        <v>1082</v>
      </c>
      <c r="B284" s="86" t="s">
        <v>47</v>
      </c>
      <c r="C284" s="86" t="s">
        <v>354</v>
      </c>
      <c r="D284" s="86" t="s">
        <v>356</v>
      </c>
      <c r="E284" s="86" t="s">
        <v>355</v>
      </c>
      <c r="F284" s="86" t="s">
        <v>47</v>
      </c>
      <c r="G284" s="86" t="s">
        <v>48</v>
      </c>
      <c r="H284" s="86" t="s">
        <v>141</v>
      </c>
      <c r="I284">
        <v>41560</v>
      </c>
      <c r="J284">
        <v>0</v>
      </c>
      <c r="K284">
        <v>0</v>
      </c>
      <c r="L284">
        <v>41560</v>
      </c>
      <c r="M284">
        <v>0</v>
      </c>
      <c r="N284" s="86" t="s">
        <v>1077</v>
      </c>
      <c r="O284" s="71"/>
      <c r="P284" s="71"/>
      <c r="Q284" s="71"/>
      <c r="R284" s="71"/>
      <c r="S284" s="71"/>
    </row>
    <row r="285" spans="1:19" x14ac:dyDescent="0.3">
      <c r="A285" s="86" t="s">
        <v>1082</v>
      </c>
      <c r="B285" s="86" t="s">
        <v>47</v>
      </c>
      <c r="C285" s="86" t="s">
        <v>357</v>
      </c>
      <c r="D285" s="86" t="s">
        <v>359</v>
      </c>
      <c r="E285" s="86" t="s">
        <v>358</v>
      </c>
      <c r="F285" s="86" t="s">
        <v>47</v>
      </c>
      <c r="G285" s="86" t="s">
        <v>48</v>
      </c>
      <c r="H285" s="86" t="s">
        <v>141</v>
      </c>
      <c r="I285">
        <v>6118</v>
      </c>
      <c r="J285">
        <v>0</v>
      </c>
      <c r="K285">
        <v>0</v>
      </c>
      <c r="L285">
        <v>6118</v>
      </c>
      <c r="M285">
        <v>0</v>
      </c>
      <c r="N285" s="86" t="s">
        <v>1077</v>
      </c>
      <c r="O285" s="71"/>
      <c r="P285" s="71"/>
      <c r="Q285" s="71"/>
      <c r="R285" s="71"/>
      <c r="S285" s="71"/>
    </row>
    <row r="286" spans="1:19" x14ac:dyDescent="0.3">
      <c r="A286" s="86" t="s">
        <v>1082</v>
      </c>
      <c r="B286" s="86" t="s">
        <v>47</v>
      </c>
      <c r="C286" s="86" t="s">
        <v>360</v>
      </c>
      <c r="D286" s="86" t="s">
        <v>362</v>
      </c>
      <c r="E286" s="86" t="s">
        <v>361</v>
      </c>
      <c r="F286" s="86" t="s">
        <v>47</v>
      </c>
      <c r="G286" s="86" t="s">
        <v>48</v>
      </c>
      <c r="H286" s="86" t="s">
        <v>141</v>
      </c>
      <c r="I286">
        <v>47112</v>
      </c>
      <c r="J286">
        <v>0</v>
      </c>
      <c r="K286">
        <v>0</v>
      </c>
      <c r="L286">
        <v>47112</v>
      </c>
      <c r="M286">
        <v>0</v>
      </c>
      <c r="N286" s="86" t="s">
        <v>1077</v>
      </c>
      <c r="O286" s="71"/>
      <c r="P286" s="71"/>
      <c r="Q286" s="71"/>
      <c r="R286" s="71"/>
      <c r="S286" s="71"/>
    </row>
    <row r="287" spans="1:19" x14ac:dyDescent="0.3">
      <c r="A287" s="86" t="s">
        <v>1082</v>
      </c>
      <c r="B287" s="86" t="s">
        <v>47</v>
      </c>
      <c r="C287" s="86" t="s">
        <v>363</v>
      </c>
      <c r="D287" s="86" t="s">
        <v>365</v>
      </c>
      <c r="E287" s="86" t="s">
        <v>364</v>
      </c>
      <c r="F287" s="86" t="s">
        <v>47</v>
      </c>
      <c r="G287" s="86" t="s">
        <v>48</v>
      </c>
      <c r="H287" s="86" t="s">
        <v>141</v>
      </c>
      <c r="I287">
        <v>23553</v>
      </c>
      <c r="J287">
        <v>0</v>
      </c>
      <c r="K287">
        <v>0</v>
      </c>
      <c r="L287">
        <v>23553</v>
      </c>
      <c r="M287">
        <v>0</v>
      </c>
      <c r="N287" s="86" t="s">
        <v>1077</v>
      </c>
      <c r="O287" s="71"/>
      <c r="P287" s="71"/>
      <c r="Q287" s="71"/>
      <c r="R287" s="71"/>
      <c r="S287" s="71"/>
    </row>
    <row r="288" spans="1:19" x14ac:dyDescent="0.3">
      <c r="A288" s="86" t="s">
        <v>1082</v>
      </c>
      <c r="B288" s="86" t="s">
        <v>47</v>
      </c>
      <c r="C288" s="86" t="s">
        <v>366</v>
      </c>
      <c r="D288" s="86" t="s">
        <v>368</v>
      </c>
      <c r="E288" s="86" t="s">
        <v>367</v>
      </c>
      <c r="F288" s="86" t="s">
        <v>47</v>
      </c>
      <c r="G288" s="86" t="s">
        <v>48</v>
      </c>
      <c r="H288" s="86" t="s">
        <v>141</v>
      </c>
      <c r="I288">
        <v>20565</v>
      </c>
      <c r="J288">
        <v>0</v>
      </c>
      <c r="K288">
        <v>0</v>
      </c>
      <c r="L288">
        <v>20565</v>
      </c>
      <c r="M288">
        <v>0</v>
      </c>
      <c r="N288" s="86" t="s">
        <v>1077</v>
      </c>
      <c r="O288" s="71"/>
      <c r="P288" s="71"/>
      <c r="Q288" s="71"/>
      <c r="R288" s="71"/>
      <c r="S288" s="71"/>
    </row>
    <row r="289" spans="1:19" x14ac:dyDescent="0.3">
      <c r="A289" s="86" t="s">
        <v>1082</v>
      </c>
      <c r="B289" s="86" t="s">
        <v>47</v>
      </c>
      <c r="C289" s="86" t="s">
        <v>369</v>
      </c>
      <c r="D289" s="86" t="s">
        <v>371</v>
      </c>
      <c r="E289" s="86" t="s">
        <v>370</v>
      </c>
      <c r="F289" s="86" t="s">
        <v>47</v>
      </c>
      <c r="G289" s="86" t="s">
        <v>48</v>
      </c>
      <c r="H289" s="86" t="s">
        <v>141</v>
      </c>
      <c r="I289">
        <v>57995</v>
      </c>
      <c r="J289">
        <v>0</v>
      </c>
      <c r="K289">
        <v>0</v>
      </c>
      <c r="L289">
        <v>57995</v>
      </c>
      <c r="M289">
        <v>0</v>
      </c>
      <c r="N289" s="86" t="s">
        <v>1077</v>
      </c>
      <c r="O289" s="71"/>
      <c r="P289" s="71"/>
      <c r="Q289" s="71"/>
      <c r="R289" s="71"/>
      <c r="S289" s="71"/>
    </row>
    <row r="290" spans="1:19" x14ac:dyDescent="0.3">
      <c r="A290" s="86" t="s">
        <v>1082</v>
      </c>
      <c r="B290" s="86" t="s">
        <v>47</v>
      </c>
      <c r="C290" s="86" t="s">
        <v>378</v>
      </c>
      <c r="D290" s="86" t="s">
        <v>380</v>
      </c>
      <c r="E290" s="86" t="s">
        <v>379</v>
      </c>
      <c r="F290" s="86" t="s">
        <v>47</v>
      </c>
      <c r="G290" s="86" t="s">
        <v>48</v>
      </c>
      <c r="H290" s="86" t="s">
        <v>141</v>
      </c>
      <c r="I290">
        <v>47573</v>
      </c>
      <c r="J290">
        <v>0</v>
      </c>
      <c r="K290">
        <v>0</v>
      </c>
      <c r="L290">
        <v>47573</v>
      </c>
      <c r="M290">
        <v>0</v>
      </c>
      <c r="N290" s="86" t="s">
        <v>1077</v>
      </c>
      <c r="O290" s="71"/>
      <c r="P290" s="71"/>
      <c r="Q290" s="71"/>
      <c r="R290" s="71"/>
      <c r="S290" s="71"/>
    </row>
    <row r="291" spans="1:19" x14ac:dyDescent="0.3">
      <c r="A291" s="86" t="s">
        <v>1082</v>
      </c>
      <c r="B291" s="86" t="s">
        <v>47</v>
      </c>
      <c r="C291" s="86" t="s">
        <v>378</v>
      </c>
      <c r="D291" s="86" t="s">
        <v>380</v>
      </c>
      <c r="E291" s="86" t="s">
        <v>379</v>
      </c>
      <c r="F291" s="86" t="s">
        <v>47</v>
      </c>
      <c r="G291" s="86" t="s">
        <v>48</v>
      </c>
      <c r="H291" s="86" t="s">
        <v>141</v>
      </c>
      <c r="I291">
        <v>0</v>
      </c>
      <c r="J291">
        <v>0</v>
      </c>
      <c r="K291">
        <v>0</v>
      </c>
      <c r="L291">
        <v>0</v>
      </c>
      <c r="M291">
        <v>0</v>
      </c>
      <c r="N291" s="86" t="s">
        <v>1077</v>
      </c>
      <c r="O291" s="71"/>
      <c r="P291" s="71"/>
      <c r="Q291" s="71"/>
      <c r="R291" s="71"/>
      <c r="S291" s="71"/>
    </row>
    <row r="292" spans="1:19" x14ac:dyDescent="0.3">
      <c r="A292" s="86" t="s">
        <v>1082</v>
      </c>
      <c r="B292" s="86" t="s">
        <v>47</v>
      </c>
      <c r="C292" s="86" t="s">
        <v>381</v>
      </c>
      <c r="D292" s="86" t="s">
        <v>383</v>
      </c>
      <c r="E292" s="86" t="s">
        <v>382</v>
      </c>
      <c r="F292" s="86" t="s">
        <v>47</v>
      </c>
      <c r="G292" s="86" t="s">
        <v>48</v>
      </c>
      <c r="H292" s="86" t="s">
        <v>141</v>
      </c>
      <c r="I292">
        <v>50955</v>
      </c>
      <c r="J292">
        <v>0</v>
      </c>
      <c r="K292">
        <v>0</v>
      </c>
      <c r="L292">
        <v>50955</v>
      </c>
      <c r="M292">
        <v>0</v>
      </c>
      <c r="N292" s="86" t="s">
        <v>1077</v>
      </c>
      <c r="O292" s="71"/>
      <c r="P292" s="71"/>
      <c r="Q292" s="71"/>
      <c r="R292" s="71"/>
      <c r="S292" s="71"/>
    </row>
    <row r="293" spans="1:19" x14ac:dyDescent="0.3">
      <c r="A293" s="86" t="s">
        <v>1082</v>
      </c>
      <c r="B293" s="86" t="s">
        <v>47</v>
      </c>
      <c r="C293" s="86" t="s">
        <v>384</v>
      </c>
      <c r="D293" s="86" t="s">
        <v>386</v>
      </c>
      <c r="E293" s="86" t="s">
        <v>385</v>
      </c>
      <c r="F293" s="86" t="s">
        <v>47</v>
      </c>
      <c r="G293" s="86" t="s">
        <v>48</v>
      </c>
      <c r="H293" s="86" t="s">
        <v>141</v>
      </c>
      <c r="I293">
        <v>12137</v>
      </c>
      <c r="J293">
        <v>0</v>
      </c>
      <c r="K293">
        <v>0</v>
      </c>
      <c r="L293">
        <v>12137</v>
      </c>
      <c r="M293">
        <v>0</v>
      </c>
      <c r="N293" s="86" t="s">
        <v>1077</v>
      </c>
      <c r="O293" s="71"/>
      <c r="P293" s="71"/>
      <c r="Q293" s="71"/>
      <c r="R293" s="71"/>
      <c r="S293" s="71"/>
    </row>
    <row r="294" spans="1:19" x14ac:dyDescent="0.3">
      <c r="A294" s="86" t="s">
        <v>1082</v>
      </c>
      <c r="B294" s="86" t="s">
        <v>47</v>
      </c>
      <c r="C294" s="86" t="s">
        <v>387</v>
      </c>
      <c r="D294" s="86" t="s">
        <v>389</v>
      </c>
      <c r="E294" s="86" t="s">
        <v>388</v>
      </c>
      <c r="F294" s="86" t="s">
        <v>47</v>
      </c>
      <c r="G294" s="86" t="s">
        <v>48</v>
      </c>
      <c r="H294" s="86" t="s">
        <v>141</v>
      </c>
      <c r="I294">
        <v>2922</v>
      </c>
      <c r="J294">
        <v>0</v>
      </c>
      <c r="K294">
        <v>0</v>
      </c>
      <c r="L294">
        <v>2922</v>
      </c>
      <c r="M294">
        <v>0</v>
      </c>
      <c r="N294" s="86" t="s">
        <v>1077</v>
      </c>
      <c r="O294" s="71"/>
      <c r="P294" s="71"/>
      <c r="Q294" s="71"/>
      <c r="R294" s="71"/>
      <c r="S294" s="71"/>
    </row>
    <row r="295" spans="1:19" x14ac:dyDescent="0.3">
      <c r="A295" s="86" t="s">
        <v>1082</v>
      </c>
      <c r="B295" s="86" t="s">
        <v>47</v>
      </c>
      <c r="C295" s="86" t="s">
        <v>390</v>
      </c>
      <c r="D295" s="86" t="s">
        <v>392</v>
      </c>
      <c r="E295" s="86" t="s">
        <v>391</v>
      </c>
      <c r="F295" s="86" t="s">
        <v>47</v>
      </c>
      <c r="G295" s="86" t="s">
        <v>48</v>
      </c>
      <c r="H295" s="86" t="s">
        <v>141</v>
      </c>
      <c r="I295">
        <v>25069</v>
      </c>
      <c r="J295">
        <v>0</v>
      </c>
      <c r="K295">
        <v>0</v>
      </c>
      <c r="L295">
        <v>25069</v>
      </c>
      <c r="M295">
        <v>0</v>
      </c>
      <c r="N295" s="86" t="s">
        <v>1077</v>
      </c>
      <c r="O295" s="71"/>
      <c r="P295" s="71"/>
      <c r="Q295" s="71"/>
      <c r="R295" s="71"/>
      <c r="S295" s="71"/>
    </row>
    <row r="296" spans="1:19" x14ac:dyDescent="0.3">
      <c r="A296" s="86" t="s">
        <v>1082</v>
      </c>
      <c r="B296" s="86" t="s">
        <v>47</v>
      </c>
      <c r="C296" s="86" t="s">
        <v>393</v>
      </c>
      <c r="D296" s="86" t="s">
        <v>395</v>
      </c>
      <c r="E296" s="86" t="s">
        <v>394</v>
      </c>
      <c r="F296" s="86" t="s">
        <v>47</v>
      </c>
      <c r="G296" s="86" t="s">
        <v>48</v>
      </c>
      <c r="H296" s="86" t="s">
        <v>141</v>
      </c>
      <c r="I296">
        <v>27743</v>
      </c>
      <c r="J296">
        <v>0</v>
      </c>
      <c r="K296">
        <v>0</v>
      </c>
      <c r="L296">
        <v>27743</v>
      </c>
      <c r="M296">
        <v>0</v>
      </c>
      <c r="N296" s="86" t="s">
        <v>1077</v>
      </c>
      <c r="O296" s="71"/>
      <c r="P296" s="71"/>
      <c r="Q296" s="71"/>
      <c r="R296" s="71"/>
      <c r="S296" s="71"/>
    </row>
    <row r="297" spans="1:19" x14ac:dyDescent="0.3">
      <c r="A297" s="86" t="s">
        <v>1082</v>
      </c>
      <c r="B297" s="86" t="s">
        <v>47</v>
      </c>
      <c r="C297" s="86" t="s">
        <v>396</v>
      </c>
      <c r="D297" s="86" t="s">
        <v>398</v>
      </c>
      <c r="E297" s="86" t="s">
        <v>397</v>
      </c>
      <c r="F297" s="86" t="s">
        <v>47</v>
      </c>
      <c r="G297" s="86" t="s">
        <v>48</v>
      </c>
      <c r="H297" s="86" t="s">
        <v>141</v>
      </c>
      <c r="I297">
        <v>17456</v>
      </c>
      <c r="J297">
        <v>48000</v>
      </c>
      <c r="K297">
        <v>8885</v>
      </c>
      <c r="L297">
        <v>56571</v>
      </c>
      <c r="M297">
        <v>0</v>
      </c>
      <c r="N297" s="86" t="s">
        <v>1077</v>
      </c>
      <c r="O297" s="71"/>
      <c r="P297" s="71"/>
      <c r="Q297" s="71"/>
      <c r="R297" s="71"/>
      <c r="S297" s="71"/>
    </row>
    <row r="298" spans="1:19" x14ac:dyDescent="0.3">
      <c r="A298" s="86" t="s">
        <v>1082</v>
      </c>
      <c r="B298" s="86" t="s">
        <v>47</v>
      </c>
      <c r="C298" s="86" t="s">
        <v>411</v>
      </c>
      <c r="D298" s="86" t="s">
        <v>413</v>
      </c>
      <c r="E298" s="86" t="s">
        <v>412</v>
      </c>
      <c r="F298" s="86" t="s">
        <v>47</v>
      </c>
      <c r="G298" s="86" t="s">
        <v>48</v>
      </c>
      <c r="H298" s="86" t="s">
        <v>141</v>
      </c>
      <c r="I298">
        <v>92503</v>
      </c>
      <c r="J298">
        <v>0</v>
      </c>
      <c r="K298">
        <v>0</v>
      </c>
      <c r="L298">
        <v>92503</v>
      </c>
      <c r="M298">
        <v>0</v>
      </c>
      <c r="N298" s="86" t="s">
        <v>1077</v>
      </c>
      <c r="O298" s="71"/>
      <c r="P298" s="71"/>
      <c r="Q298" s="71"/>
      <c r="R298" s="71"/>
      <c r="S298" s="71"/>
    </row>
    <row r="299" spans="1:19" x14ac:dyDescent="0.3">
      <c r="A299" s="86" t="s">
        <v>1082</v>
      </c>
      <c r="B299" s="86" t="s">
        <v>47</v>
      </c>
      <c r="C299" s="86" t="s">
        <v>414</v>
      </c>
      <c r="D299" s="86" t="s">
        <v>416</v>
      </c>
      <c r="E299" s="86" t="s">
        <v>415</v>
      </c>
      <c r="F299" s="86" t="s">
        <v>47</v>
      </c>
      <c r="G299" s="86" t="s">
        <v>48</v>
      </c>
      <c r="H299" s="86" t="s">
        <v>141</v>
      </c>
      <c r="I299">
        <v>24261</v>
      </c>
      <c r="J299">
        <v>0</v>
      </c>
      <c r="K299">
        <v>1435</v>
      </c>
      <c r="L299">
        <v>22826</v>
      </c>
      <c r="M299">
        <v>0</v>
      </c>
      <c r="N299" s="86" t="s">
        <v>1077</v>
      </c>
      <c r="O299" s="71"/>
      <c r="P299" s="71"/>
      <c r="Q299" s="71"/>
      <c r="R299" s="71"/>
      <c r="S299" s="71"/>
    </row>
    <row r="300" spans="1:19" x14ac:dyDescent="0.3">
      <c r="A300" s="86" t="s">
        <v>1082</v>
      </c>
      <c r="B300" s="86" t="s">
        <v>47</v>
      </c>
      <c r="C300" s="86" t="s">
        <v>420</v>
      </c>
      <c r="D300" s="86" t="s">
        <v>422</v>
      </c>
      <c r="E300" s="86" t="s">
        <v>421</v>
      </c>
      <c r="F300" s="86" t="s">
        <v>47</v>
      </c>
      <c r="G300" s="86" t="s">
        <v>48</v>
      </c>
      <c r="H300" s="86" t="s">
        <v>141</v>
      </c>
      <c r="I300">
        <v>47334</v>
      </c>
      <c r="J300">
        <v>0</v>
      </c>
      <c r="K300">
        <v>0</v>
      </c>
      <c r="L300">
        <v>47334</v>
      </c>
      <c r="M300">
        <v>0</v>
      </c>
      <c r="N300" s="86" t="s">
        <v>1077</v>
      </c>
      <c r="O300" s="71"/>
      <c r="P300" s="71"/>
      <c r="Q300" s="71"/>
      <c r="R300" s="71"/>
      <c r="S300" s="71"/>
    </row>
    <row r="301" spans="1:19" x14ac:dyDescent="0.3">
      <c r="A301" s="86" t="s">
        <v>1082</v>
      </c>
      <c r="B301" s="86" t="s">
        <v>47</v>
      </c>
      <c r="C301" s="86" t="s">
        <v>428</v>
      </c>
      <c r="D301" s="86" t="s">
        <v>430</v>
      </c>
      <c r="E301" s="86" t="s">
        <v>429</v>
      </c>
      <c r="F301" s="86" t="s">
        <v>47</v>
      </c>
      <c r="G301" s="86" t="s">
        <v>48</v>
      </c>
      <c r="H301" s="86" t="s">
        <v>141</v>
      </c>
      <c r="I301">
        <v>104296</v>
      </c>
      <c r="J301">
        <v>98000</v>
      </c>
      <c r="K301">
        <v>96510</v>
      </c>
      <c r="L301">
        <v>105786</v>
      </c>
      <c r="M301">
        <v>0</v>
      </c>
      <c r="N301" s="86" t="s">
        <v>1077</v>
      </c>
      <c r="O301" s="71"/>
      <c r="P301" s="71"/>
      <c r="Q301" s="71"/>
      <c r="R301" s="71"/>
      <c r="S301" s="71"/>
    </row>
    <row r="302" spans="1:19" x14ac:dyDescent="0.3">
      <c r="A302" s="86" t="s">
        <v>1082</v>
      </c>
      <c r="B302" s="86" t="s">
        <v>47</v>
      </c>
      <c r="C302" s="86" t="s">
        <v>431</v>
      </c>
      <c r="D302" s="86" t="s">
        <v>433</v>
      </c>
      <c r="E302" s="86" t="s">
        <v>432</v>
      </c>
      <c r="F302" s="86" t="s">
        <v>47</v>
      </c>
      <c r="G302" s="86" t="s">
        <v>48</v>
      </c>
      <c r="H302" s="86" t="s">
        <v>141</v>
      </c>
      <c r="I302">
        <v>68291</v>
      </c>
      <c r="J302">
        <v>96000</v>
      </c>
      <c r="K302">
        <v>72595</v>
      </c>
      <c r="L302">
        <v>91696</v>
      </c>
      <c r="M302">
        <v>0</v>
      </c>
      <c r="N302" s="86" t="s">
        <v>1077</v>
      </c>
      <c r="O302" s="71"/>
      <c r="P302" s="71"/>
      <c r="Q302" s="71"/>
      <c r="R302" s="71"/>
      <c r="S302" s="71"/>
    </row>
    <row r="303" spans="1:19" x14ac:dyDescent="0.3">
      <c r="A303" s="86" t="s">
        <v>1082</v>
      </c>
      <c r="B303" s="86" t="s">
        <v>47</v>
      </c>
      <c r="C303" s="86" t="s">
        <v>434</v>
      </c>
      <c r="D303" s="86" t="s">
        <v>436</v>
      </c>
      <c r="E303" s="86" t="s">
        <v>435</v>
      </c>
      <c r="F303" s="86" t="s">
        <v>47</v>
      </c>
      <c r="G303" s="86" t="s">
        <v>48</v>
      </c>
      <c r="H303" s="86" t="s">
        <v>141</v>
      </c>
      <c r="I303">
        <v>42525</v>
      </c>
      <c r="J303">
        <v>105000</v>
      </c>
      <c r="K303">
        <v>45325</v>
      </c>
      <c r="L303">
        <v>102200</v>
      </c>
      <c r="M303">
        <v>0</v>
      </c>
      <c r="N303" s="86" t="s">
        <v>1077</v>
      </c>
      <c r="O303" s="71"/>
      <c r="P303" s="71"/>
      <c r="Q303" s="71"/>
      <c r="R303" s="71"/>
      <c r="S303" s="71"/>
    </row>
    <row r="304" spans="1:19" x14ac:dyDescent="0.3">
      <c r="A304" s="86" t="s">
        <v>1082</v>
      </c>
      <c r="B304" s="86" t="s">
        <v>47</v>
      </c>
      <c r="C304" s="86" t="s">
        <v>443</v>
      </c>
      <c r="D304" s="86" t="s">
        <v>445</v>
      </c>
      <c r="E304" s="86" t="s">
        <v>444</v>
      </c>
      <c r="F304" s="86" t="s">
        <v>47</v>
      </c>
      <c r="G304" s="86" t="s">
        <v>48</v>
      </c>
      <c r="H304" s="86" t="s">
        <v>141</v>
      </c>
      <c r="I304">
        <v>37652</v>
      </c>
      <c r="J304">
        <v>0</v>
      </c>
      <c r="K304">
        <v>0</v>
      </c>
      <c r="L304">
        <v>37652</v>
      </c>
      <c r="M304">
        <v>0</v>
      </c>
      <c r="N304" s="86" t="s">
        <v>1077</v>
      </c>
      <c r="O304" s="71"/>
      <c r="P304" s="71"/>
      <c r="Q304" s="71"/>
      <c r="R304" s="71"/>
      <c r="S304" s="71"/>
    </row>
    <row r="305" spans="1:19" x14ac:dyDescent="0.3">
      <c r="A305" s="86" t="s">
        <v>1082</v>
      </c>
      <c r="B305" s="86" t="s">
        <v>47</v>
      </c>
      <c r="C305" s="86" t="s">
        <v>452</v>
      </c>
      <c r="D305" s="86" t="s">
        <v>454</v>
      </c>
      <c r="E305" s="86" t="s">
        <v>453</v>
      </c>
      <c r="F305" s="86" t="s">
        <v>47</v>
      </c>
      <c r="G305" s="86" t="s">
        <v>48</v>
      </c>
      <c r="H305" s="86" t="s">
        <v>141</v>
      </c>
      <c r="I305">
        <v>46072</v>
      </c>
      <c r="J305">
        <v>0</v>
      </c>
      <c r="K305">
        <v>14535</v>
      </c>
      <c r="L305">
        <v>31537</v>
      </c>
      <c r="M305">
        <v>0</v>
      </c>
      <c r="N305" s="86" t="s">
        <v>1077</v>
      </c>
      <c r="O305" s="71"/>
      <c r="P305" s="71"/>
      <c r="Q305" s="71"/>
      <c r="R305" s="71"/>
      <c r="S305" s="71"/>
    </row>
    <row r="306" spans="1:19" x14ac:dyDescent="0.3">
      <c r="A306" s="86" t="s">
        <v>1082</v>
      </c>
      <c r="B306" s="86" t="s">
        <v>47</v>
      </c>
      <c r="C306" s="86" t="s">
        <v>462</v>
      </c>
      <c r="D306" s="86" t="s">
        <v>464</v>
      </c>
      <c r="E306" s="86" t="s">
        <v>463</v>
      </c>
      <c r="F306" s="86" t="s">
        <v>47</v>
      </c>
      <c r="G306" s="86" t="s">
        <v>48</v>
      </c>
      <c r="H306" s="86" t="s">
        <v>141</v>
      </c>
      <c r="I306">
        <v>94049</v>
      </c>
      <c r="J306">
        <v>103000</v>
      </c>
      <c r="K306">
        <v>79840</v>
      </c>
      <c r="L306">
        <v>117209</v>
      </c>
      <c r="M306">
        <v>0</v>
      </c>
      <c r="N306" s="86" t="s">
        <v>1077</v>
      </c>
      <c r="O306" s="71"/>
      <c r="P306" s="71"/>
      <c r="Q306" s="71"/>
      <c r="R306" s="71"/>
      <c r="S306" s="71"/>
    </row>
    <row r="307" spans="1:19" x14ac:dyDescent="0.3">
      <c r="A307" s="86" t="s">
        <v>1082</v>
      </c>
      <c r="B307" s="86" t="s">
        <v>47</v>
      </c>
      <c r="C307" s="86" t="s">
        <v>465</v>
      </c>
      <c r="D307" s="86" t="s">
        <v>467</v>
      </c>
      <c r="E307" s="86" t="s">
        <v>466</v>
      </c>
      <c r="F307" s="86" t="s">
        <v>47</v>
      </c>
      <c r="G307" s="86" t="s">
        <v>48</v>
      </c>
      <c r="H307" s="86" t="s">
        <v>141</v>
      </c>
      <c r="I307">
        <v>64901</v>
      </c>
      <c r="J307">
        <v>0</v>
      </c>
      <c r="K307">
        <v>0</v>
      </c>
      <c r="L307">
        <v>64901</v>
      </c>
      <c r="M307">
        <v>0</v>
      </c>
      <c r="N307" s="86" t="s">
        <v>1077</v>
      </c>
      <c r="O307" s="71"/>
      <c r="P307" s="71"/>
      <c r="Q307" s="71"/>
      <c r="R307" s="71"/>
      <c r="S307" s="71"/>
    </row>
    <row r="308" spans="1:19" x14ac:dyDescent="0.3">
      <c r="A308" s="86" t="s">
        <v>1082</v>
      </c>
      <c r="B308" s="86" t="s">
        <v>47</v>
      </c>
      <c r="C308" s="86" t="s">
        <v>477</v>
      </c>
      <c r="D308" s="86" t="s">
        <v>479</v>
      </c>
      <c r="E308" s="86" t="s">
        <v>478</v>
      </c>
      <c r="F308" s="86" t="s">
        <v>47</v>
      </c>
      <c r="G308" s="86" t="s">
        <v>48</v>
      </c>
      <c r="H308" s="86" t="s">
        <v>141</v>
      </c>
      <c r="I308">
        <v>29309</v>
      </c>
      <c r="J308">
        <v>0</v>
      </c>
      <c r="K308">
        <v>0</v>
      </c>
      <c r="L308">
        <v>29309</v>
      </c>
      <c r="M308">
        <v>0</v>
      </c>
      <c r="N308" s="86" t="s">
        <v>1077</v>
      </c>
      <c r="O308" s="71"/>
      <c r="P308" s="71"/>
      <c r="Q308" s="71"/>
      <c r="R308" s="71"/>
      <c r="S308" s="71"/>
    </row>
    <row r="309" spans="1:19" x14ac:dyDescent="0.3">
      <c r="A309" s="86" t="s">
        <v>1082</v>
      </c>
      <c r="B309" s="86" t="s">
        <v>47</v>
      </c>
      <c r="C309" s="86" t="s">
        <v>480</v>
      </c>
      <c r="D309" s="86" t="s">
        <v>482</v>
      </c>
      <c r="E309" s="86" t="s">
        <v>481</v>
      </c>
      <c r="F309" s="86" t="s">
        <v>47</v>
      </c>
      <c r="G309" s="86" t="s">
        <v>48</v>
      </c>
      <c r="H309" s="86" t="s">
        <v>141</v>
      </c>
      <c r="I309">
        <v>37869</v>
      </c>
      <c r="J309">
        <v>0</v>
      </c>
      <c r="K309">
        <v>0</v>
      </c>
      <c r="L309">
        <v>37869</v>
      </c>
      <c r="M309">
        <v>0</v>
      </c>
      <c r="N309" s="86" t="s">
        <v>1077</v>
      </c>
      <c r="O309" s="71"/>
      <c r="P309" s="71"/>
      <c r="Q309" s="71"/>
      <c r="R309" s="71"/>
      <c r="S309" s="71"/>
    </row>
    <row r="310" spans="1:19" x14ac:dyDescent="0.3">
      <c r="A310" s="86" t="s">
        <v>1082</v>
      </c>
      <c r="B310" s="86" t="s">
        <v>47</v>
      </c>
      <c r="C310" s="86" t="s">
        <v>488</v>
      </c>
      <c r="D310" s="86" t="s">
        <v>490</v>
      </c>
      <c r="E310" s="86" t="s">
        <v>489</v>
      </c>
      <c r="F310" s="86" t="s">
        <v>47</v>
      </c>
      <c r="G310" s="86" t="s">
        <v>48</v>
      </c>
      <c r="H310" s="86" t="s">
        <v>141</v>
      </c>
      <c r="I310">
        <v>98614</v>
      </c>
      <c r="J310">
        <v>242000</v>
      </c>
      <c r="K310">
        <v>223365</v>
      </c>
      <c r="L310">
        <v>117249</v>
      </c>
      <c r="M310">
        <v>0</v>
      </c>
      <c r="N310" s="86" t="s">
        <v>1077</v>
      </c>
      <c r="O310" s="71"/>
      <c r="P310" s="71"/>
      <c r="Q310" s="71"/>
      <c r="R310" s="71"/>
      <c r="S310" s="71"/>
    </row>
    <row r="311" spans="1:19" x14ac:dyDescent="0.3">
      <c r="A311" s="86" t="s">
        <v>1082</v>
      </c>
      <c r="B311" s="86" t="s">
        <v>47</v>
      </c>
      <c r="C311" s="86" t="s">
        <v>491</v>
      </c>
      <c r="D311" s="86" t="s">
        <v>493</v>
      </c>
      <c r="E311" s="86" t="s">
        <v>492</v>
      </c>
      <c r="F311" s="86" t="s">
        <v>47</v>
      </c>
      <c r="G311" s="86" t="s">
        <v>48</v>
      </c>
      <c r="H311" s="86" t="s">
        <v>141</v>
      </c>
      <c r="I311">
        <v>154377</v>
      </c>
      <c r="J311">
        <v>0</v>
      </c>
      <c r="K311">
        <v>49230</v>
      </c>
      <c r="L311">
        <v>105147</v>
      </c>
      <c r="M311">
        <v>0</v>
      </c>
      <c r="N311" s="86" t="s">
        <v>1077</v>
      </c>
      <c r="O311" s="71"/>
      <c r="P311" s="71"/>
      <c r="Q311" s="71"/>
      <c r="R311" s="71"/>
      <c r="S311" s="71"/>
    </row>
    <row r="312" spans="1:19" x14ac:dyDescent="0.3">
      <c r="A312" s="86" t="s">
        <v>1082</v>
      </c>
      <c r="B312" s="86" t="s">
        <v>47</v>
      </c>
      <c r="C312" s="86" t="s">
        <v>503</v>
      </c>
      <c r="D312" s="86" t="s">
        <v>505</v>
      </c>
      <c r="E312" s="86" t="s">
        <v>504</v>
      </c>
      <c r="F312" s="86" t="s">
        <v>47</v>
      </c>
      <c r="G312" s="86" t="s">
        <v>48</v>
      </c>
      <c r="H312" s="86" t="s">
        <v>141</v>
      </c>
      <c r="I312">
        <v>81063</v>
      </c>
      <c r="J312">
        <v>0</v>
      </c>
      <c r="K312">
        <v>0</v>
      </c>
      <c r="L312">
        <v>81063</v>
      </c>
      <c r="M312">
        <v>0</v>
      </c>
      <c r="N312" s="86" t="s">
        <v>1077</v>
      </c>
      <c r="O312" s="71"/>
      <c r="P312" s="71"/>
      <c r="Q312" s="71"/>
      <c r="R312" s="71"/>
      <c r="S312" s="71"/>
    </row>
    <row r="313" spans="1:19" x14ac:dyDescent="0.3">
      <c r="A313" s="86" t="s">
        <v>1082</v>
      </c>
      <c r="B313" s="86" t="s">
        <v>47</v>
      </c>
      <c r="C313" s="86" t="s">
        <v>512</v>
      </c>
      <c r="D313" s="86" t="s">
        <v>514</v>
      </c>
      <c r="E313" s="86" t="s">
        <v>513</v>
      </c>
      <c r="F313" s="86" t="s">
        <v>47</v>
      </c>
      <c r="G313" s="86" t="s">
        <v>48</v>
      </c>
      <c r="H313" s="86" t="s">
        <v>141</v>
      </c>
      <c r="I313">
        <v>18509</v>
      </c>
      <c r="J313">
        <v>0</v>
      </c>
      <c r="K313">
        <v>0</v>
      </c>
      <c r="L313">
        <v>18509</v>
      </c>
      <c r="M313">
        <v>0</v>
      </c>
      <c r="N313" s="86" t="s">
        <v>1077</v>
      </c>
      <c r="O313" s="71"/>
      <c r="P313" s="71"/>
      <c r="Q313" s="71"/>
      <c r="R313" s="71"/>
      <c r="S313" s="71"/>
    </row>
    <row r="314" spans="1:19" x14ac:dyDescent="0.3">
      <c r="A314" s="86" t="s">
        <v>1082</v>
      </c>
      <c r="B314" s="86" t="s">
        <v>47</v>
      </c>
      <c r="C314" s="86" t="s">
        <v>523</v>
      </c>
      <c r="D314" s="86" t="s">
        <v>525</v>
      </c>
      <c r="E314" s="86" t="s">
        <v>524</v>
      </c>
      <c r="F314" s="86" t="s">
        <v>47</v>
      </c>
      <c r="G314" s="86" t="s">
        <v>48</v>
      </c>
      <c r="H314" s="86" t="s">
        <v>141</v>
      </c>
      <c r="I314">
        <v>57921</v>
      </c>
      <c r="J314">
        <v>0</v>
      </c>
      <c r="K314">
        <v>0</v>
      </c>
      <c r="L314">
        <v>57921</v>
      </c>
      <c r="M314">
        <v>0</v>
      </c>
      <c r="N314" s="86" t="s">
        <v>1077</v>
      </c>
      <c r="O314" s="71"/>
      <c r="P314" s="71"/>
      <c r="Q314" s="71"/>
      <c r="R314" s="71"/>
      <c r="S314" s="71"/>
    </row>
    <row r="315" spans="1:19" x14ac:dyDescent="0.3">
      <c r="A315" s="86" t="s">
        <v>1082</v>
      </c>
      <c r="B315" s="86" t="s">
        <v>47</v>
      </c>
      <c r="C315" s="86" t="s">
        <v>535</v>
      </c>
      <c r="D315" s="86" t="s">
        <v>537</v>
      </c>
      <c r="E315" s="86" t="s">
        <v>536</v>
      </c>
      <c r="F315" s="86" t="s">
        <v>47</v>
      </c>
      <c r="G315" s="86" t="s">
        <v>48</v>
      </c>
      <c r="H315" s="86" t="s">
        <v>141</v>
      </c>
      <c r="I315">
        <v>77553</v>
      </c>
      <c r="J315">
        <v>0</v>
      </c>
      <c r="K315">
        <v>0</v>
      </c>
      <c r="L315">
        <v>77553</v>
      </c>
      <c r="M315">
        <v>0</v>
      </c>
      <c r="N315" s="86" t="s">
        <v>1077</v>
      </c>
      <c r="O315" s="71"/>
      <c r="P315" s="71"/>
      <c r="Q315" s="71"/>
      <c r="R315" s="71"/>
      <c r="S315" s="71"/>
    </row>
    <row r="316" spans="1:19" x14ac:dyDescent="0.3">
      <c r="A316" s="86" t="s">
        <v>1082</v>
      </c>
      <c r="B316" s="86" t="s">
        <v>47</v>
      </c>
      <c r="C316" s="86" t="s">
        <v>544</v>
      </c>
      <c r="D316" s="86" t="s">
        <v>546</v>
      </c>
      <c r="E316" s="86" t="s">
        <v>545</v>
      </c>
      <c r="F316" s="86" t="s">
        <v>47</v>
      </c>
      <c r="G316" s="86" t="s">
        <v>48</v>
      </c>
      <c r="H316" s="86" t="s">
        <v>141</v>
      </c>
      <c r="I316">
        <v>50358</v>
      </c>
      <c r="J316">
        <v>0</v>
      </c>
      <c r="K316">
        <v>0</v>
      </c>
      <c r="L316">
        <v>50358</v>
      </c>
      <c r="M316">
        <v>0</v>
      </c>
      <c r="N316" s="86" t="s">
        <v>1077</v>
      </c>
      <c r="O316" s="71"/>
      <c r="P316" s="71"/>
      <c r="Q316" s="71"/>
      <c r="R316" s="71"/>
      <c r="S316" s="71"/>
    </row>
    <row r="317" spans="1:19" x14ac:dyDescent="0.3">
      <c r="A317" s="86" t="s">
        <v>1082</v>
      </c>
      <c r="B317" s="86" t="s">
        <v>47</v>
      </c>
      <c r="C317" s="86" t="s">
        <v>553</v>
      </c>
      <c r="D317" s="86" t="s">
        <v>555</v>
      </c>
      <c r="E317" s="86" t="s">
        <v>554</v>
      </c>
      <c r="F317" s="86" t="s">
        <v>47</v>
      </c>
      <c r="G317" s="86" t="s">
        <v>48</v>
      </c>
      <c r="H317" s="86" t="s">
        <v>141</v>
      </c>
      <c r="I317">
        <v>29752</v>
      </c>
      <c r="J317">
        <v>0</v>
      </c>
      <c r="K317">
        <v>0</v>
      </c>
      <c r="L317">
        <v>29752</v>
      </c>
      <c r="M317">
        <v>0</v>
      </c>
      <c r="N317" s="86" t="s">
        <v>1077</v>
      </c>
      <c r="O317" s="71"/>
      <c r="P317" s="71"/>
      <c r="Q317" s="71"/>
      <c r="R317" s="71"/>
      <c r="S317" s="71"/>
    </row>
    <row r="318" spans="1:19" x14ac:dyDescent="0.3">
      <c r="A318" s="86" t="s">
        <v>1082</v>
      </c>
      <c r="B318" s="86" t="s">
        <v>47</v>
      </c>
      <c r="C318" s="86" t="s">
        <v>562</v>
      </c>
      <c r="D318" s="86" t="s">
        <v>564</v>
      </c>
      <c r="E318" s="86" t="s">
        <v>563</v>
      </c>
      <c r="F318" s="86" t="s">
        <v>47</v>
      </c>
      <c r="G318" s="86" t="s">
        <v>48</v>
      </c>
      <c r="H318" s="86" t="s">
        <v>141</v>
      </c>
      <c r="I318">
        <v>47571</v>
      </c>
      <c r="J318">
        <v>0</v>
      </c>
      <c r="K318">
        <v>0</v>
      </c>
      <c r="L318">
        <v>47571</v>
      </c>
      <c r="M318">
        <v>0</v>
      </c>
      <c r="N318" s="86" t="s">
        <v>1077</v>
      </c>
      <c r="O318" s="71"/>
      <c r="P318" s="71"/>
      <c r="Q318" s="71"/>
      <c r="R318" s="71"/>
      <c r="S318" s="71"/>
    </row>
    <row r="319" spans="1:19" x14ac:dyDescent="0.3">
      <c r="A319" s="86" t="s">
        <v>1082</v>
      </c>
      <c r="B319" s="86" t="s">
        <v>47</v>
      </c>
      <c r="C319" s="86" t="s">
        <v>568</v>
      </c>
      <c r="D319" s="86" t="s">
        <v>570</v>
      </c>
      <c r="E319" s="86" t="s">
        <v>569</v>
      </c>
      <c r="F319" s="86" t="s">
        <v>47</v>
      </c>
      <c r="G319" s="86" t="s">
        <v>48</v>
      </c>
      <c r="H319" s="86" t="s">
        <v>141</v>
      </c>
      <c r="I319">
        <v>11949</v>
      </c>
      <c r="J319">
        <v>0</v>
      </c>
      <c r="K319">
        <v>0</v>
      </c>
      <c r="L319">
        <v>11949</v>
      </c>
      <c r="M319">
        <v>0</v>
      </c>
      <c r="N319" s="86" t="s">
        <v>1077</v>
      </c>
      <c r="O319" s="71"/>
      <c r="P319" s="71"/>
      <c r="Q319" s="71"/>
      <c r="R319" s="71"/>
      <c r="S319" s="71"/>
    </row>
    <row r="320" spans="1:19" x14ac:dyDescent="0.3">
      <c r="A320" s="86" t="s">
        <v>1082</v>
      </c>
      <c r="B320" s="86" t="s">
        <v>47</v>
      </c>
      <c r="C320" s="86" t="s">
        <v>571</v>
      </c>
      <c r="D320" s="86" t="s">
        <v>573</v>
      </c>
      <c r="E320" s="86" t="s">
        <v>572</v>
      </c>
      <c r="F320" s="86" t="s">
        <v>47</v>
      </c>
      <c r="G320" s="86" t="s">
        <v>48</v>
      </c>
      <c r="H320" s="86" t="s">
        <v>141</v>
      </c>
      <c r="I320">
        <v>24149</v>
      </c>
      <c r="J320">
        <v>0</v>
      </c>
      <c r="K320">
        <v>0</v>
      </c>
      <c r="L320">
        <v>24149</v>
      </c>
      <c r="M320">
        <v>0</v>
      </c>
      <c r="N320" s="86" t="s">
        <v>1077</v>
      </c>
      <c r="O320" s="71"/>
      <c r="P320" s="71"/>
      <c r="Q320" s="71"/>
      <c r="R320" s="71"/>
      <c r="S320" s="71"/>
    </row>
    <row r="321" spans="1:19" x14ac:dyDescent="0.3">
      <c r="A321" s="86" t="s">
        <v>1082</v>
      </c>
      <c r="B321" s="86" t="s">
        <v>47</v>
      </c>
      <c r="C321" s="86" t="s">
        <v>577</v>
      </c>
      <c r="D321" s="86" t="s">
        <v>579</v>
      </c>
      <c r="E321" s="86" t="s">
        <v>578</v>
      </c>
      <c r="F321" s="86" t="s">
        <v>47</v>
      </c>
      <c r="G321" s="86" t="s">
        <v>48</v>
      </c>
      <c r="H321" s="86" t="s">
        <v>141</v>
      </c>
      <c r="I321">
        <v>19570</v>
      </c>
      <c r="J321">
        <v>0</v>
      </c>
      <c r="K321">
        <v>0</v>
      </c>
      <c r="L321">
        <v>19570</v>
      </c>
      <c r="M321">
        <v>0</v>
      </c>
      <c r="N321" s="86" t="s">
        <v>1077</v>
      </c>
      <c r="O321" s="71"/>
      <c r="P321" s="71"/>
      <c r="Q321" s="71"/>
      <c r="R321" s="71"/>
      <c r="S321" s="71"/>
    </row>
    <row r="322" spans="1:19" x14ac:dyDescent="0.3">
      <c r="A322" s="86" t="s">
        <v>1082</v>
      </c>
      <c r="B322" s="86" t="s">
        <v>47</v>
      </c>
      <c r="C322" s="86" t="s">
        <v>586</v>
      </c>
      <c r="D322" s="86" t="s">
        <v>588</v>
      </c>
      <c r="E322" s="86" t="s">
        <v>587</v>
      </c>
      <c r="F322" s="86" t="s">
        <v>47</v>
      </c>
      <c r="G322" s="86" t="s">
        <v>48</v>
      </c>
      <c r="H322" s="86" t="s">
        <v>141</v>
      </c>
      <c r="I322">
        <v>65263</v>
      </c>
      <c r="J322">
        <v>107000</v>
      </c>
      <c r="K322">
        <v>110725</v>
      </c>
      <c r="L322">
        <v>61538</v>
      </c>
      <c r="M322">
        <v>0</v>
      </c>
      <c r="N322" s="86" t="s">
        <v>1077</v>
      </c>
      <c r="O322" s="71"/>
      <c r="P322" s="71"/>
      <c r="Q322" s="71"/>
      <c r="R322" s="71"/>
      <c r="S322" s="71"/>
    </row>
    <row r="323" spans="1:19" x14ac:dyDescent="0.3">
      <c r="A323" s="86" t="s">
        <v>1082</v>
      </c>
      <c r="B323" s="86" t="s">
        <v>47</v>
      </c>
      <c r="C323" s="86" t="s">
        <v>598</v>
      </c>
      <c r="D323" s="86" t="s">
        <v>600</v>
      </c>
      <c r="E323" s="86" t="s">
        <v>599</v>
      </c>
      <c r="F323" s="86" t="s">
        <v>47</v>
      </c>
      <c r="G323" s="86" t="s">
        <v>48</v>
      </c>
      <c r="H323" s="86" t="s">
        <v>141</v>
      </c>
      <c r="I323">
        <v>17177</v>
      </c>
      <c r="J323">
        <v>0</v>
      </c>
      <c r="K323">
        <v>0</v>
      </c>
      <c r="L323">
        <v>17177</v>
      </c>
      <c r="M323">
        <v>0</v>
      </c>
      <c r="N323" s="86" t="s">
        <v>1077</v>
      </c>
      <c r="O323" s="71"/>
      <c r="P323" s="71"/>
      <c r="Q323" s="71"/>
      <c r="R323" s="71"/>
      <c r="S323" s="71"/>
    </row>
    <row r="324" spans="1:19" x14ac:dyDescent="0.3">
      <c r="A324" s="86" t="s">
        <v>1082</v>
      </c>
      <c r="B324" s="86" t="s">
        <v>47</v>
      </c>
      <c r="C324" s="86" t="s">
        <v>604</v>
      </c>
      <c r="D324" s="86" t="s">
        <v>606</v>
      </c>
      <c r="E324" s="86" t="s">
        <v>605</v>
      </c>
      <c r="F324" s="86" t="s">
        <v>47</v>
      </c>
      <c r="G324" s="86" t="s">
        <v>48</v>
      </c>
      <c r="H324" s="86" t="s">
        <v>141</v>
      </c>
      <c r="I324">
        <v>30634</v>
      </c>
      <c r="J324">
        <v>0</v>
      </c>
      <c r="K324">
        <v>12565</v>
      </c>
      <c r="L324">
        <v>18069</v>
      </c>
      <c r="M324">
        <v>0</v>
      </c>
      <c r="N324" s="86" t="s">
        <v>1077</v>
      </c>
      <c r="O324" s="71"/>
      <c r="P324" s="71"/>
      <c r="Q324" s="71"/>
      <c r="R324" s="71"/>
      <c r="S324" s="71"/>
    </row>
    <row r="325" spans="1:19" x14ac:dyDescent="0.3">
      <c r="A325" s="86" t="s">
        <v>1082</v>
      </c>
      <c r="B325" s="86" t="s">
        <v>47</v>
      </c>
      <c r="C325" s="86" t="s">
        <v>610</v>
      </c>
      <c r="D325" s="86" t="s">
        <v>612</v>
      </c>
      <c r="E325" s="86" t="s">
        <v>611</v>
      </c>
      <c r="F325" s="86" t="s">
        <v>47</v>
      </c>
      <c r="G325" s="86" t="s">
        <v>48</v>
      </c>
      <c r="H325" s="86" t="s">
        <v>141</v>
      </c>
      <c r="I325">
        <v>9922</v>
      </c>
      <c r="J325">
        <v>0</v>
      </c>
      <c r="K325">
        <v>0</v>
      </c>
      <c r="L325">
        <v>9922</v>
      </c>
      <c r="M325">
        <v>0</v>
      </c>
      <c r="N325" s="86" t="s">
        <v>1077</v>
      </c>
      <c r="O325" s="71"/>
      <c r="P325" s="71"/>
      <c r="Q325" s="71"/>
      <c r="R325" s="71"/>
      <c r="S325" s="71"/>
    </row>
    <row r="326" spans="1:19" x14ac:dyDescent="0.3">
      <c r="A326" s="86" t="s">
        <v>1082</v>
      </c>
      <c r="B326" s="86" t="s">
        <v>47</v>
      </c>
      <c r="C326" s="86" t="s">
        <v>613</v>
      </c>
      <c r="D326" s="86" t="s">
        <v>615</v>
      </c>
      <c r="E326" s="86" t="s">
        <v>614</v>
      </c>
      <c r="F326" s="86" t="s">
        <v>47</v>
      </c>
      <c r="G326" s="86" t="s">
        <v>48</v>
      </c>
      <c r="H326" s="86" t="s">
        <v>141</v>
      </c>
      <c r="I326">
        <v>67095</v>
      </c>
      <c r="J326">
        <v>0</v>
      </c>
      <c r="K326">
        <v>0</v>
      </c>
      <c r="L326">
        <v>67095</v>
      </c>
      <c r="M326">
        <v>0</v>
      </c>
      <c r="N326" s="86" t="s">
        <v>1077</v>
      </c>
      <c r="O326" s="71"/>
      <c r="P326" s="71"/>
      <c r="Q326" s="71"/>
      <c r="R326" s="71"/>
      <c r="S326" s="71"/>
    </row>
    <row r="327" spans="1:19" x14ac:dyDescent="0.3">
      <c r="A327" s="86" t="s">
        <v>1082</v>
      </c>
      <c r="B327" s="86" t="s">
        <v>47</v>
      </c>
      <c r="C327" s="86" t="s">
        <v>619</v>
      </c>
      <c r="D327" s="86" t="s">
        <v>621</v>
      </c>
      <c r="E327" s="86" t="s">
        <v>620</v>
      </c>
      <c r="F327" s="86" t="s">
        <v>47</v>
      </c>
      <c r="G327" s="86" t="s">
        <v>48</v>
      </c>
      <c r="H327" s="86" t="s">
        <v>141</v>
      </c>
      <c r="I327">
        <v>59165</v>
      </c>
      <c r="J327">
        <v>0</v>
      </c>
      <c r="K327">
        <v>0</v>
      </c>
      <c r="L327">
        <v>59165</v>
      </c>
      <c r="M327">
        <v>0</v>
      </c>
      <c r="N327" s="86" t="s">
        <v>1077</v>
      </c>
      <c r="O327" s="71"/>
      <c r="P327" s="71"/>
      <c r="Q327" s="71"/>
      <c r="R327" s="71"/>
      <c r="S327" s="71"/>
    </row>
    <row r="328" spans="1:19" x14ac:dyDescent="0.3">
      <c r="A328" s="86" t="s">
        <v>1082</v>
      </c>
      <c r="B328" s="86" t="s">
        <v>47</v>
      </c>
      <c r="C328" s="86" t="s">
        <v>628</v>
      </c>
      <c r="D328" s="86" t="s">
        <v>630</v>
      </c>
      <c r="E328" s="86" t="s">
        <v>629</v>
      </c>
      <c r="F328" s="86" t="s">
        <v>47</v>
      </c>
      <c r="G328" s="86" t="s">
        <v>48</v>
      </c>
      <c r="H328" s="86" t="s">
        <v>141</v>
      </c>
      <c r="I328">
        <v>54115</v>
      </c>
      <c r="J328">
        <v>0</v>
      </c>
      <c r="K328">
        <v>0</v>
      </c>
      <c r="L328">
        <v>54115</v>
      </c>
      <c r="M328">
        <v>0</v>
      </c>
      <c r="N328" s="86" t="s">
        <v>1077</v>
      </c>
      <c r="O328" s="71"/>
      <c r="P328" s="71"/>
      <c r="Q328" s="71"/>
      <c r="R328" s="71"/>
      <c r="S328" s="71"/>
    </row>
    <row r="329" spans="1:19" x14ac:dyDescent="0.3">
      <c r="A329" s="86" t="s">
        <v>1082</v>
      </c>
      <c r="B329" s="86" t="s">
        <v>47</v>
      </c>
      <c r="C329" s="86" t="s">
        <v>640</v>
      </c>
      <c r="D329" s="86" t="s">
        <v>642</v>
      </c>
      <c r="E329" s="86" t="s">
        <v>641</v>
      </c>
      <c r="F329" s="86" t="s">
        <v>47</v>
      </c>
      <c r="G329" s="86" t="s">
        <v>48</v>
      </c>
      <c r="H329" s="86" t="s">
        <v>141</v>
      </c>
      <c r="I329">
        <v>43396</v>
      </c>
      <c r="J329">
        <v>0</v>
      </c>
      <c r="K329">
        <v>0</v>
      </c>
      <c r="L329">
        <v>43396</v>
      </c>
      <c r="M329">
        <v>0</v>
      </c>
      <c r="N329" s="86" t="s">
        <v>1077</v>
      </c>
      <c r="O329" s="71"/>
      <c r="P329" s="71"/>
      <c r="Q329" s="71"/>
      <c r="R329" s="71"/>
      <c r="S329" s="71"/>
    </row>
    <row r="330" spans="1:19" x14ac:dyDescent="0.3">
      <c r="A330" s="86" t="s">
        <v>1082</v>
      </c>
      <c r="B330" s="86" t="s">
        <v>47</v>
      </c>
      <c r="C330" s="86" t="s">
        <v>646</v>
      </c>
      <c r="D330" s="86" t="s">
        <v>648</v>
      </c>
      <c r="E330" s="86" t="s">
        <v>647</v>
      </c>
      <c r="F330" s="86" t="s">
        <v>47</v>
      </c>
      <c r="G330" s="86" t="s">
        <v>48</v>
      </c>
      <c r="H330" s="86" t="s">
        <v>141</v>
      </c>
      <c r="I330">
        <v>938</v>
      </c>
      <c r="J330">
        <v>0</v>
      </c>
      <c r="K330">
        <v>0</v>
      </c>
      <c r="L330">
        <v>938</v>
      </c>
      <c r="M330">
        <v>0</v>
      </c>
      <c r="N330" s="86" t="s">
        <v>1077</v>
      </c>
      <c r="O330" s="71"/>
      <c r="P330" s="71"/>
      <c r="Q330" s="71"/>
      <c r="R330" s="71"/>
      <c r="S330" s="71"/>
    </row>
    <row r="331" spans="1:19" x14ac:dyDescent="0.3">
      <c r="A331" s="86" t="s">
        <v>1082</v>
      </c>
      <c r="B331" s="86" t="s">
        <v>47</v>
      </c>
      <c r="C331" s="86" t="s">
        <v>652</v>
      </c>
      <c r="D331" s="86" t="s">
        <v>654</v>
      </c>
      <c r="E331" s="86" t="s">
        <v>653</v>
      </c>
      <c r="F331" s="86" t="s">
        <v>47</v>
      </c>
      <c r="G331" s="86" t="s">
        <v>48</v>
      </c>
      <c r="H331" s="86" t="s">
        <v>141</v>
      </c>
      <c r="I331">
        <v>32616</v>
      </c>
      <c r="J331">
        <v>0</v>
      </c>
      <c r="K331">
        <v>0</v>
      </c>
      <c r="L331">
        <v>32616</v>
      </c>
      <c r="M331">
        <v>0</v>
      </c>
      <c r="N331" s="86" t="s">
        <v>1077</v>
      </c>
      <c r="O331" s="71"/>
      <c r="P331" s="71"/>
      <c r="Q331" s="71"/>
      <c r="R331" s="71"/>
      <c r="S331" s="71"/>
    </row>
    <row r="332" spans="1:19" x14ac:dyDescent="0.3">
      <c r="A332" s="86" t="s">
        <v>1082</v>
      </c>
      <c r="B332" s="86" t="s">
        <v>47</v>
      </c>
      <c r="C332" s="86" t="s">
        <v>660</v>
      </c>
      <c r="D332" s="86" t="s">
        <v>662</v>
      </c>
      <c r="E332" s="86" t="s">
        <v>661</v>
      </c>
      <c r="F332" s="86" t="s">
        <v>47</v>
      </c>
      <c r="G332" s="86" t="s">
        <v>48</v>
      </c>
      <c r="H332" s="86" t="s">
        <v>141</v>
      </c>
      <c r="I332">
        <v>87143</v>
      </c>
      <c r="J332">
        <v>0</v>
      </c>
      <c r="K332">
        <v>0</v>
      </c>
      <c r="L332">
        <v>87143</v>
      </c>
      <c r="M332">
        <v>0</v>
      </c>
      <c r="N332" s="86" t="s">
        <v>1077</v>
      </c>
      <c r="O332" s="71"/>
      <c r="P332" s="71"/>
      <c r="Q332" s="71"/>
      <c r="R332" s="71"/>
      <c r="S332" s="71"/>
    </row>
    <row r="333" spans="1:19" x14ac:dyDescent="0.3">
      <c r="A333" s="86" t="s">
        <v>1082</v>
      </c>
      <c r="B333" s="86" t="s">
        <v>47</v>
      </c>
      <c r="C333" s="86" t="s">
        <v>666</v>
      </c>
      <c r="D333" s="86" t="s">
        <v>668</v>
      </c>
      <c r="E333" s="86" t="s">
        <v>667</v>
      </c>
      <c r="F333" s="86" t="s">
        <v>47</v>
      </c>
      <c r="G333" s="86" t="s">
        <v>48</v>
      </c>
      <c r="H333" s="86" t="s">
        <v>141</v>
      </c>
      <c r="I333">
        <v>82537</v>
      </c>
      <c r="J333">
        <v>0</v>
      </c>
      <c r="K333">
        <v>0</v>
      </c>
      <c r="L333">
        <v>82537</v>
      </c>
      <c r="M333">
        <v>0</v>
      </c>
      <c r="N333" s="86" t="s">
        <v>1077</v>
      </c>
      <c r="O333" s="71"/>
      <c r="P333" s="71"/>
      <c r="Q333" s="71"/>
      <c r="R333" s="71"/>
      <c r="S333" s="71"/>
    </row>
    <row r="334" spans="1:19" x14ac:dyDescent="0.3">
      <c r="A334" s="86" t="s">
        <v>1082</v>
      </c>
      <c r="B334" s="86" t="s">
        <v>47</v>
      </c>
      <c r="C334" s="86" t="s">
        <v>669</v>
      </c>
      <c r="D334" s="86" t="s">
        <v>671</v>
      </c>
      <c r="E334" s="86" t="s">
        <v>670</v>
      </c>
      <c r="F334" s="86" t="s">
        <v>47</v>
      </c>
      <c r="G334" s="86" t="s">
        <v>48</v>
      </c>
      <c r="H334" s="86" t="s">
        <v>141</v>
      </c>
      <c r="I334">
        <v>134924</v>
      </c>
      <c r="J334">
        <v>0</v>
      </c>
      <c r="K334">
        <v>65670</v>
      </c>
      <c r="L334">
        <v>69254</v>
      </c>
      <c r="M334">
        <v>0</v>
      </c>
      <c r="N334" s="86" t="s">
        <v>1077</v>
      </c>
      <c r="O334" s="71"/>
      <c r="P334" s="71"/>
      <c r="Q334" s="71"/>
      <c r="R334" s="71"/>
      <c r="S334" s="71"/>
    </row>
    <row r="335" spans="1:19" x14ac:dyDescent="0.3">
      <c r="A335" s="86" t="s">
        <v>1082</v>
      </c>
      <c r="B335" s="86" t="s">
        <v>47</v>
      </c>
      <c r="C335" s="86" t="s">
        <v>675</v>
      </c>
      <c r="D335" s="86" t="s">
        <v>677</v>
      </c>
      <c r="E335" s="86" t="s">
        <v>676</v>
      </c>
      <c r="F335" s="86" t="s">
        <v>47</v>
      </c>
      <c r="G335" s="86" t="s">
        <v>48</v>
      </c>
      <c r="H335" s="86" t="s">
        <v>141</v>
      </c>
      <c r="I335">
        <v>36452</v>
      </c>
      <c r="J335">
        <v>0</v>
      </c>
      <c r="K335">
        <v>0</v>
      </c>
      <c r="L335">
        <v>36452</v>
      </c>
      <c r="M335">
        <v>0</v>
      </c>
      <c r="N335" s="86" t="s">
        <v>1077</v>
      </c>
      <c r="O335" s="71"/>
      <c r="P335" s="71"/>
      <c r="Q335" s="71"/>
      <c r="R335" s="71"/>
      <c r="S335" s="71"/>
    </row>
    <row r="336" spans="1:19" x14ac:dyDescent="0.3">
      <c r="A336" s="86" t="s">
        <v>1082</v>
      </c>
      <c r="B336" s="86" t="s">
        <v>47</v>
      </c>
      <c r="C336" s="86" t="s">
        <v>684</v>
      </c>
      <c r="D336" s="86" t="s">
        <v>686</v>
      </c>
      <c r="E336" s="86" t="s">
        <v>685</v>
      </c>
      <c r="F336" s="86" t="s">
        <v>47</v>
      </c>
      <c r="G336" s="86" t="s">
        <v>48</v>
      </c>
      <c r="H336" s="86" t="s">
        <v>141</v>
      </c>
      <c r="I336">
        <v>43547</v>
      </c>
      <c r="J336">
        <v>0</v>
      </c>
      <c r="K336">
        <v>0</v>
      </c>
      <c r="L336">
        <v>43547</v>
      </c>
      <c r="M336">
        <v>0</v>
      </c>
      <c r="N336" s="86" t="s">
        <v>1077</v>
      </c>
      <c r="O336" s="71"/>
      <c r="P336" s="71"/>
      <c r="Q336" s="71"/>
      <c r="R336" s="71"/>
      <c r="S336" s="71"/>
    </row>
    <row r="337" spans="1:19" x14ac:dyDescent="0.3">
      <c r="A337" s="86" t="s">
        <v>1082</v>
      </c>
      <c r="B337" s="86" t="s">
        <v>47</v>
      </c>
      <c r="C337" s="86" t="s">
        <v>693</v>
      </c>
      <c r="D337" s="86" t="s">
        <v>695</v>
      </c>
      <c r="E337" s="86" t="s">
        <v>694</v>
      </c>
      <c r="F337" s="86" t="s">
        <v>47</v>
      </c>
      <c r="G337" s="86" t="s">
        <v>48</v>
      </c>
      <c r="H337" s="86" t="s">
        <v>141</v>
      </c>
      <c r="I337">
        <v>24239</v>
      </c>
      <c r="J337">
        <v>0</v>
      </c>
      <c r="K337">
        <v>0</v>
      </c>
      <c r="L337">
        <v>24239</v>
      </c>
      <c r="M337">
        <v>0</v>
      </c>
      <c r="N337" s="86" t="s">
        <v>1077</v>
      </c>
      <c r="O337" s="71"/>
      <c r="P337" s="71"/>
      <c r="Q337" s="71"/>
      <c r="R337" s="71"/>
      <c r="S337" s="71"/>
    </row>
    <row r="338" spans="1:19" x14ac:dyDescent="0.3">
      <c r="A338" s="86" t="s">
        <v>1082</v>
      </c>
      <c r="B338" s="86" t="s">
        <v>47</v>
      </c>
      <c r="C338" s="86" t="s">
        <v>696</v>
      </c>
      <c r="D338" s="86" t="s">
        <v>698</v>
      </c>
      <c r="E338" s="86" t="s">
        <v>697</v>
      </c>
      <c r="F338" s="86" t="s">
        <v>47</v>
      </c>
      <c r="G338" s="86" t="s">
        <v>48</v>
      </c>
      <c r="H338" s="86" t="s">
        <v>141</v>
      </c>
      <c r="I338">
        <v>4568</v>
      </c>
      <c r="J338">
        <v>0</v>
      </c>
      <c r="K338">
        <v>0</v>
      </c>
      <c r="L338">
        <v>4568</v>
      </c>
      <c r="M338">
        <v>0</v>
      </c>
      <c r="N338" s="86" t="s">
        <v>1077</v>
      </c>
      <c r="O338" s="71"/>
      <c r="P338" s="71"/>
      <c r="Q338" s="71"/>
      <c r="R338" s="71"/>
      <c r="S338" s="71"/>
    </row>
    <row r="339" spans="1:19" x14ac:dyDescent="0.3">
      <c r="A339" s="86" t="s">
        <v>1082</v>
      </c>
      <c r="B339" s="86" t="s">
        <v>47</v>
      </c>
      <c r="C339" s="86" t="s">
        <v>705</v>
      </c>
      <c r="D339" s="86" t="s">
        <v>707</v>
      </c>
      <c r="E339" s="86" t="s">
        <v>706</v>
      </c>
      <c r="F339" s="86" t="s">
        <v>47</v>
      </c>
      <c r="G339" s="86" t="s">
        <v>48</v>
      </c>
      <c r="H339" s="86" t="s">
        <v>141</v>
      </c>
      <c r="I339">
        <v>0</v>
      </c>
      <c r="J339">
        <v>0</v>
      </c>
      <c r="K339">
        <v>0</v>
      </c>
      <c r="L339">
        <v>0</v>
      </c>
      <c r="M339">
        <v>0</v>
      </c>
      <c r="N339" s="86" t="s">
        <v>1077</v>
      </c>
      <c r="O339" s="71"/>
      <c r="P339" s="71"/>
      <c r="Q339" s="71"/>
      <c r="R339" s="71"/>
      <c r="S339" s="71"/>
    </row>
    <row r="340" spans="1:19" x14ac:dyDescent="0.3">
      <c r="A340" s="86" t="s">
        <v>1082</v>
      </c>
      <c r="B340" s="86" t="s">
        <v>47</v>
      </c>
      <c r="C340" s="86" t="s">
        <v>711</v>
      </c>
      <c r="D340" s="86" t="s">
        <v>713</v>
      </c>
      <c r="E340" s="86" t="s">
        <v>712</v>
      </c>
      <c r="F340" s="86" t="s">
        <v>47</v>
      </c>
      <c r="G340" s="86" t="s">
        <v>48</v>
      </c>
      <c r="H340" s="86" t="s">
        <v>141</v>
      </c>
      <c r="I340">
        <v>36220</v>
      </c>
      <c r="J340">
        <v>0</v>
      </c>
      <c r="K340">
        <v>0</v>
      </c>
      <c r="L340">
        <v>36220</v>
      </c>
      <c r="M340">
        <v>0</v>
      </c>
      <c r="N340" s="86" t="s">
        <v>1077</v>
      </c>
      <c r="O340" s="71"/>
      <c r="P340" s="71"/>
      <c r="Q340" s="71"/>
      <c r="R340" s="71"/>
      <c r="S340" s="71"/>
    </row>
    <row r="341" spans="1:19" x14ac:dyDescent="0.3">
      <c r="A341" s="86" t="s">
        <v>1082</v>
      </c>
      <c r="B341" s="86" t="s">
        <v>47</v>
      </c>
      <c r="C341" s="86" t="s">
        <v>714</v>
      </c>
      <c r="D341" s="86" t="s">
        <v>716</v>
      </c>
      <c r="E341" s="86" t="s">
        <v>715</v>
      </c>
      <c r="F341" s="86" t="s">
        <v>47</v>
      </c>
      <c r="G341" s="86" t="s">
        <v>48</v>
      </c>
      <c r="H341" s="86" t="s">
        <v>141</v>
      </c>
      <c r="I341">
        <v>63110</v>
      </c>
      <c r="J341">
        <v>0</v>
      </c>
      <c r="K341">
        <v>0</v>
      </c>
      <c r="L341">
        <v>63110</v>
      </c>
      <c r="M341">
        <v>0</v>
      </c>
      <c r="N341" s="86" t="s">
        <v>1077</v>
      </c>
      <c r="O341" s="71"/>
      <c r="P341" s="71"/>
      <c r="Q341" s="71"/>
      <c r="R341" s="71"/>
      <c r="S341" s="71"/>
    </row>
    <row r="342" spans="1:19" x14ac:dyDescent="0.3">
      <c r="A342" s="86" t="s">
        <v>1082</v>
      </c>
      <c r="B342" s="86" t="s">
        <v>47</v>
      </c>
      <c r="C342" s="86" t="s">
        <v>717</v>
      </c>
      <c r="D342" s="86" t="s">
        <v>719</v>
      </c>
      <c r="E342" s="86" t="s">
        <v>718</v>
      </c>
      <c r="F342" s="86" t="s">
        <v>47</v>
      </c>
      <c r="G342" s="86" t="s">
        <v>48</v>
      </c>
      <c r="H342" s="86" t="s">
        <v>141</v>
      </c>
      <c r="I342">
        <v>28931</v>
      </c>
      <c r="J342">
        <v>0</v>
      </c>
      <c r="K342">
        <v>0</v>
      </c>
      <c r="L342">
        <v>28931</v>
      </c>
      <c r="M342">
        <v>0</v>
      </c>
      <c r="N342" s="86" t="s">
        <v>1077</v>
      </c>
      <c r="O342" s="71"/>
      <c r="P342" s="71"/>
      <c r="Q342" s="71"/>
      <c r="R342" s="71"/>
      <c r="S342" s="71"/>
    </row>
    <row r="343" spans="1:19" x14ac:dyDescent="0.3">
      <c r="A343" s="86" t="s">
        <v>1082</v>
      </c>
      <c r="B343" s="86" t="s">
        <v>47</v>
      </c>
      <c r="C343" s="86" t="s">
        <v>729</v>
      </c>
      <c r="D343" s="86" t="s">
        <v>731</v>
      </c>
      <c r="E343" s="86" t="s">
        <v>730</v>
      </c>
      <c r="F343" s="86" t="s">
        <v>47</v>
      </c>
      <c r="G343" s="86" t="s">
        <v>48</v>
      </c>
      <c r="H343" s="86" t="s">
        <v>141</v>
      </c>
      <c r="I343">
        <v>81242</v>
      </c>
      <c r="J343">
        <v>0</v>
      </c>
      <c r="K343">
        <v>0</v>
      </c>
      <c r="L343">
        <v>81242</v>
      </c>
      <c r="M343">
        <v>0</v>
      </c>
      <c r="N343" s="86" t="s">
        <v>1077</v>
      </c>
      <c r="O343" s="71"/>
      <c r="P343" s="71"/>
      <c r="Q343" s="71"/>
      <c r="R343" s="71"/>
      <c r="S343" s="71"/>
    </row>
    <row r="344" spans="1:19" x14ac:dyDescent="0.3">
      <c r="A344" s="86" t="s">
        <v>1082</v>
      </c>
      <c r="B344" s="86" t="s">
        <v>47</v>
      </c>
      <c r="C344" s="86" t="s">
        <v>738</v>
      </c>
      <c r="D344" s="86" t="s">
        <v>740</v>
      </c>
      <c r="E344" s="86" t="s">
        <v>739</v>
      </c>
      <c r="F344" s="86" t="s">
        <v>47</v>
      </c>
      <c r="G344" s="86" t="s">
        <v>48</v>
      </c>
      <c r="H344" s="86" t="s">
        <v>141</v>
      </c>
      <c r="I344">
        <v>19689</v>
      </c>
      <c r="J344">
        <v>0</v>
      </c>
      <c r="K344">
        <v>0</v>
      </c>
      <c r="L344">
        <v>19689</v>
      </c>
      <c r="M344">
        <v>0</v>
      </c>
      <c r="N344" s="86" t="s">
        <v>1077</v>
      </c>
      <c r="O344" s="71"/>
      <c r="P344" s="71"/>
      <c r="Q344" s="71"/>
      <c r="R344" s="71"/>
      <c r="S344" s="71"/>
    </row>
    <row r="345" spans="1:19" x14ac:dyDescent="0.3">
      <c r="A345" s="86" t="s">
        <v>1082</v>
      </c>
      <c r="B345" s="86" t="s">
        <v>47</v>
      </c>
      <c r="C345" s="86" t="s">
        <v>747</v>
      </c>
      <c r="D345" s="86" t="s">
        <v>749</v>
      </c>
      <c r="E345" s="86" t="s">
        <v>748</v>
      </c>
      <c r="F345" s="86" t="s">
        <v>47</v>
      </c>
      <c r="G345" s="86" t="s">
        <v>48</v>
      </c>
      <c r="H345" s="86" t="s">
        <v>141</v>
      </c>
      <c r="I345">
        <v>35259</v>
      </c>
      <c r="J345">
        <v>0</v>
      </c>
      <c r="K345">
        <v>0</v>
      </c>
      <c r="L345">
        <v>35259</v>
      </c>
      <c r="M345">
        <v>0</v>
      </c>
      <c r="N345" s="86" t="s">
        <v>1077</v>
      </c>
      <c r="O345" s="71"/>
      <c r="P345" s="71"/>
      <c r="Q345" s="71"/>
      <c r="R345" s="71"/>
      <c r="S345" s="71"/>
    </row>
    <row r="346" spans="1:19" x14ac:dyDescent="0.3">
      <c r="A346" s="86" t="s">
        <v>1082</v>
      </c>
      <c r="B346" s="86" t="s">
        <v>47</v>
      </c>
      <c r="C346" s="86" t="s">
        <v>750</v>
      </c>
      <c r="D346" s="86" t="s">
        <v>752</v>
      </c>
      <c r="E346" s="86" t="s">
        <v>751</v>
      </c>
      <c r="F346" s="86" t="s">
        <v>47</v>
      </c>
      <c r="G346" s="86" t="s">
        <v>48</v>
      </c>
      <c r="H346" s="86" t="s">
        <v>141</v>
      </c>
      <c r="I346">
        <v>1511</v>
      </c>
      <c r="J346">
        <v>48000</v>
      </c>
      <c r="K346">
        <v>0</v>
      </c>
      <c r="L346">
        <v>49511</v>
      </c>
      <c r="M346">
        <v>0</v>
      </c>
      <c r="N346" s="86" t="s">
        <v>1077</v>
      </c>
      <c r="O346" s="71"/>
      <c r="P346" s="71"/>
      <c r="Q346" s="71"/>
      <c r="R346" s="71"/>
      <c r="S346" s="71"/>
    </row>
    <row r="347" spans="1:19" x14ac:dyDescent="0.3">
      <c r="A347" s="86" t="s">
        <v>1082</v>
      </c>
      <c r="B347" s="86" t="s">
        <v>47</v>
      </c>
      <c r="C347" s="86" t="s">
        <v>753</v>
      </c>
      <c r="D347" s="86" t="s">
        <v>755</v>
      </c>
      <c r="E347" s="86" t="s">
        <v>754</v>
      </c>
      <c r="F347" s="86" t="s">
        <v>47</v>
      </c>
      <c r="G347" s="86" t="s">
        <v>48</v>
      </c>
      <c r="H347" s="86" t="s">
        <v>141</v>
      </c>
      <c r="I347">
        <v>0</v>
      </c>
      <c r="J347">
        <v>0</v>
      </c>
      <c r="K347">
        <v>0</v>
      </c>
      <c r="L347">
        <v>0</v>
      </c>
      <c r="M347">
        <v>0</v>
      </c>
      <c r="N347" s="86" t="s">
        <v>1077</v>
      </c>
      <c r="O347" s="71"/>
      <c r="P347" s="71"/>
      <c r="Q347" s="71"/>
      <c r="R347" s="71"/>
      <c r="S347" s="71"/>
    </row>
    <row r="348" spans="1:19" x14ac:dyDescent="0.3">
      <c r="A348" s="86" t="s">
        <v>1082</v>
      </c>
      <c r="B348" s="86" t="s">
        <v>47</v>
      </c>
      <c r="C348" s="86" t="s">
        <v>756</v>
      </c>
      <c r="D348" s="86" t="s">
        <v>758</v>
      </c>
      <c r="E348" s="86" t="s">
        <v>757</v>
      </c>
      <c r="F348" s="86" t="s">
        <v>47</v>
      </c>
      <c r="G348" s="86" t="s">
        <v>48</v>
      </c>
      <c r="H348" s="86" t="s">
        <v>141</v>
      </c>
      <c r="I348">
        <v>94230</v>
      </c>
      <c r="J348">
        <v>0</v>
      </c>
      <c r="K348">
        <v>0</v>
      </c>
      <c r="L348">
        <v>94230</v>
      </c>
      <c r="M348">
        <v>0</v>
      </c>
      <c r="N348" s="86" t="s">
        <v>1077</v>
      </c>
      <c r="O348" s="71"/>
      <c r="P348" s="71"/>
      <c r="Q348" s="71"/>
      <c r="R348" s="71"/>
      <c r="S348" s="71"/>
    </row>
    <row r="349" spans="1:19" x14ac:dyDescent="0.3">
      <c r="A349" s="86" t="s">
        <v>1082</v>
      </c>
      <c r="B349" s="86" t="s">
        <v>47</v>
      </c>
      <c r="C349" s="86" t="s">
        <v>759</v>
      </c>
      <c r="D349" s="86" t="s">
        <v>761</v>
      </c>
      <c r="E349" s="86" t="s">
        <v>760</v>
      </c>
      <c r="F349" s="86" t="s">
        <v>47</v>
      </c>
      <c r="G349" s="86" t="s">
        <v>48</v>
      </c>
      <c r="H349" s="86" t="s">
        <v>141</v>
      </c>
      <c r="I349">
        <v>4599</v>
      </c>
      <c r="J349">
        <v>0</v>
      </c>
      <c r="K349">
        <v>0</v>
      </c>
      <c r="L349">
        <v>4599</v>
      </c>
      <c r="M349">
        <v>0</v>
      </c>
      <c r="N349" s="86" t="s">
        <v>1077</v>
      </c>
      <c r="O349" s="71"/>
      <c r="P349" s="71"/>
      <c r="Q349" s="71"/>
      <c r="R349" s="71"/>
      <c r="S349" s="71"/>
    </row>
    <row r="350" spans="1:19" x14ac:dyDescent="0.3">
      <c r="A350" s="86" t="s">
        <v>1082</v>
      </c>
      <c r="B350" s="86" t="s">
        <v>47</v>
      </c>
      <c r="C350" s="86" t="s">
        <v>762</v>
      </c>
      <c r="D350" s="86" t="s">
        <v>764</v>
      </c>
      <c r="E350" s="86" t="s">
        <v>763</v>
      </c>
      <c r="F350" s="86" t="s">
        <v>47</v>
      </c>
      <c r="G350" s="86" t="s">
        <v>48</v>
      </c>
      <c r="H350" s="86" t="s">
        <v>141</v>
      </c>
      <c r="I350">
        <v>42916</v>
      </c>
      <c r="J350">
        <v>0</v>
      </c>
      <c r="K350">
        <v>0</v>
      </c>
      <c r="L350">
        <v>42916</v>
      </c>
      <c r="M350">
        <v>0</v>
      </c>
      <c r="N350" s="86" t="s">
        <v>1077</v>
      </c>
      <c r="O350" s="71"/>
      <c r="P350" s="71"/>
      <c r="Q350" s="71"/>
      <c r="R350" s="71"/>
      <c r="S350" s="71"/>
    </row>
    <row r="351" spans="1:19" x14ac:dyDescent="0.3">
      <c r="A351" s="86" t="s">
        <v>1082</v>
      </c>
      <c r="B351" s="86" t="s">
        <v>47</v>
      </c>
      <c r="C351" s="86" t="s">
        <v>768</v>
      </c>
      <c r="D351" s="86" t="s">
        <v>770</v>
      </c>
      <c r="E351" s="86" t="s">
        <v>769</v>
      </c>
      <c r="F351" s="86" t="s">
        <v>47</v>
      </c>
      <c r="G351" s="86" t="s">
        <v>48</v>
      </c>
      <c r="H351" s="86" t="s">
        <v>141</v>
      </c>
      <c r="I351">
        <v>99587</v>
      </c>
      <c r="J351">
        <v>0</v>
      </c>
      <c r="K351">
        <v>0</v>
      </c>
      <c r="L351">
        <v>99587</v>
      </c>
      <c r="M351">
        <v>0</v>
      </c>
      <c r="N351" s="86" t="s">
        <v>1077</v>
      </c>
      <c r="O351" s="71"/>
      <c r="P351" s="71"/>
      <c r="Q351" s="71"/>
      <c r="R351" s="71"/>
      <c r="S351" s="71"/>
    </row>
    <row r="352" spans="1:19" x14ac:dyDescent="0.3">
      <c r="A352" s="86" t="s">
        <v>1082</v>
      </c>
      <c r="B352" s="86" t="s">
        <v>47</v>
      </c>
      <c r="C352" s="86" t="s">
        <v>786</v>
      </c>
      <c r="D352" s="86" t="s">
        <v>788</v>
      </c>
      <c r="E352" s="86" t="s">
        <v>787</v>
      </c>
      <c r="F352" s="86" t="s">
        <v>47</v>
      </c>
      <c r="G352" s="86" t="s">
        <v>48</v>
      </c>
      <c r="H352" s="86" t="s">
        <v>141</v>
      </c>
      <c r="I352">
        <v>44363</v>
      </c>
      <c r="J352">
        <v>0</v>
      </c>
      <c r="K352">
        <v>0</v>
      </c>
      <c r="L352">
        <v>44363</v>
      </c>
      <c r="M352">
        <v>0</v>
      </c>
      <c r="N352" s="86" t="s">
        <v>1077</v>
      </c>
      <c r="O352" s="71"/>
      <c r="P352" s="71"/>
      <c r="Q352" s="71"/>
      <c r="R352" s="71"/>
      <c r="S352" s="71"/>
    </row>
    <row r="353" spans="1:19" x14ac:dyDescent="0.3">
      <c r="A353" s="86" t="s">
        <v>1082</v>
      </c>
      <c r="B353" s="86" t="s">
        <v>47</v>
      </c>
      <c r="C353" s="86" t="s">
        <v>789</v>
      </c>
      <c r="D353" s="86" t="s">
        <v>791</v>
      </c>
      <c r="E353" s="86" t="s">
        <v>790</v>
      </c>
      <c r="F353" s="86" t="s">
        <v>47</v>
      </c>
      <c r="G353" s="86" t="s">
        <v>48</v>
      </c>
      <c r="H353" s="86" t="s">
        <v>141</v>
      </c>
      <c r="I353">
        <v>54354</v>
      </c>
      <c r="J353">
        <v>0</v>
      </c>
      <c r="K353">
        <v>0</v>
      </c>
      <c r="L353">
        <v>54354</v>
      </c>
      <c r="M353">
        <v>0</v>
      </c>
      <c r="N353" s="86" t="s">
        <v>1077</v>
      </c>
      <c r="O353" s="71"/>
      <c r="P353" s="71"/>
      <c r="Q353" s="71"/>
      <c r="R353" s="71"/>
      <c r="S353" s="71"/>
    </row>
    <row r="354" spans="1:19" x14ac:dyDescent="0.3">
      <c r="A354" s="86" t="s">
        <v>1082</v>
      </c>
      <c r="B354" s="86" t="s">
        <v>47</v>
      </c>
      <c r="C354" s="86" t="s">
        <v>795</v>
      </c>
      <c r="D354" s="86" t="s">
        <v>797</v>
      </c>
      <c r="E354" s="86" t="s">
        <v>796</v>
      </c>
      <c r="F354" s="86" t="s">
        <v>47</v>
      </c>
      <c r="G354" s="86" t="s">
        <v>48</v>
      </c>
      <c r="H354" s="86" t="s">
        <v>141</v>
      </c>
      <c r="I354">
        <v>21886</v>
      </c>
      <c r="J354">
        <v>0</v>
      </c>
      <c r="K354">
        <v>0</v>
      </c>
      <c r="L354">
        <v>21886</v>
      </c>
      <c r="M354">
        <v>0</v>
      </c>
      <c r="N354" s="86" t="s">
        <v>1077</v>
      </c>
      <c r="O354" s="71"/>
      <c r="P354" s="71"/>
      <c r="Q354" s="71"/>
      <c r="R354" s="71"/>
      <c r="S354" s="71"/>
    </row>
    <row r="355" spans="1:19" x14ac:dyDescent="0.3">
      <c r="A355" s="86" t="s">
        <v>1082</v>
      </c>
      <c r="B355" s="86" t="s">
        <v>47</v>
      </c>
      <c r="C355" s="86" t="s">
        <v>804</v>
      </c>
      <c r="D355" s="86" t="s">
        <v>806</v>
      </c>
      <c r="E355" s="86" t="s">
        <v>805</v>
      </c>
      <c r="F355" s="86" t="s">
        <v>47</v>
      </c>
      <c r="G355" s="86" t="s">
        <v>48</v>
      </c>
      <c r="H355" s="86" t="s">
        <v>141</v>
      </c>
      <c r="I355">
        <v>30000</v>
      </c>
      <c r="J355">
        <v>0</v>
      </c>
      <c r="K355">
        <v>0</v>
      </c>
      <c r="L355">
        <v>30000</v>
      </c>
      <c r="M355">
        <v>0</v>
      </c>
      <c r="N355" s="86" t="s">
        <v>1077</v>
      </c>
      <c r="O355" s="71"/>
      <c r="P355" s="71"/>
      <c r="Q355" s="71"/>
      <c r="R355" s="71"/>
      <c r="S355" s="71"/>
    </row>
    <row r="356" spans="1:19" x14ac:dyDescent="0.3">
      <c r="A356" s="86" t="s">
        <v>1082</v>
      </c>
      <c r="B356" s="86" t="s">
        <v>47</v>
      </c>
      <c r="C356" s="86" t="s">
        <v>807</v>
      </c>
      <c r="D356" s="86" t="s">
        <v>809</v>
      </c>
      <c r="E356" s="86" t="s">
        <v>808</v>
      </c>
      <c r="F356" s="86" t="s">
        <v>47</v>
      </c>
      <c r="G356" s="86" t="s">
        <v>48</v>
      </c>
      <c r="H356" s="86" t="s">
        <v>141</v>
      </c>
      <c r="I356">
        <v>260147</v>
      </c>
      <c r="J356">
        <v>0</v>
      </c>
      <c r="K356">
        <v>0</v>
      </c>
      <c r="L356">
        <v>260147</v>
      </c>
      <c r="M356">
        <v>0</v>
      </c>
      <c r="N356" s="86" t="s">
        <v>1077</v>
      </c>
      <c r="O356" s="71"/>
      <c r="P356" s="71"/>
      <c r="Q356" s="71"/>
      <c r="R356" s="71"/>
      <c r="S356" s="71"/>
    </row>
    <row r="357" spans="1:19" x14ac:dyDescent="0.3">
      <c r="A357" s="86" t="s">
        <v>1082</v>
      </c>
      <c r="B357" s="86" t="s">
        <v>47</v>
      </c>
      <c r="C357" s="86" t="s">
        <v>816</v>
      </c>
      <c r="D357" s="86" t="s">
        <v>818</v>
      </c>
      <c r="E357" s="86" t="s">
        <v>817</v>
      </c>
      <c r="F357" s="86" t="s">
        <v>47</v>
      </c>
      <c r="G357" s="86" t="s">
        <v>48</v>
      </c>
      <c r="H357" s="86" t="s">
        <v>141</v>
      </c>
      <c r="I357">
        <v>83974</v>
      </c>
      <c r="J357">
        <v>0</v>
      </c>
      <c r="K357">
        <v>1700</v>
      </c>
      <c r="L357">
        <v>82274</v>
      </c>
      <c r="M357">
        <v>0</v>
      </c>
      <c r="N357" s="86" t="s">
        <v>1077</v>
      </c>
      <c r="O357" s="71"/>
      <c r="P357" s="71"/>
      <c r="Q357" s="71"/>
      <c r="R357" s="71"/>
      <c r="S357" s="71"/>
    </row>
    <row r="358" spans="1:19" x14ac:dyDescent="0.3">
      <c r="A358" s="86" t="s">
        <v>1082</v>
      </c>
      <c r="B358" s="86" t="s">
        <v>47</v>
      </c>
      <c r="C358" s="86" t="s">
        <v>843</v>
      </c>
      <c r="D358" s="86" t="s">
        <v>845</v>
      </c>
      <c r="E358" s="86" t="s">
        <v>844</v>
      </c>
      <c r="F358" s="86" t="s">
        <v>47</v>
      </c>
      <c r="G358" s="86" t="s">
        <v>48</v>
      </c>
      <c r="H358" s="86" t="s">
        <v>141</v>
      </c>
      <c r="I358">
        <v>45913</v>
      </c>
      <c r="J358">
        <v>0</v>
      </c>
      <c r="K358">
        <v>0</v>
      </c>
      <c r="L358">
        <v>45913</v>
      </c>
      <c r="M358">
        <v>0</v>
      </c>
      <c r="N358" s="86" t="s">
        <v>1077</v>
      </c>
      <c r="O358" s="71"/>
      <c r="P358" s="71"/>
      <c r="Q358" s="71"/>
      <c r="R358" s="71"/>
      <c r="S358" s="71"/>
    </row>
    <row r="359" spans="1:19" x14ac:dyDescent="0.3">
      <c r="A359" s="86" t="s">
        <v>1082</v>
      </c>
      <c r="B359" s="86" t="s">
        <v>47</v>
      </c>
      <c r="C359" s="86" t="s">
        <v>857</v>
      </c>
      <c r="D359" s="86" t="s">
        <v>859</v>
      </c>
      <c r="E359" s="86" t="s">
        <v>858</v>
      </c>
      <c r="F359" s="86" t="s">
        <v>47</v>
      </c>
      <c r="G359" s="86" t="s">
        <v>48</v>
      </c>
      <c r="H359" s="86" t="s">
        <v>141</v>
      </c>
      <c r="I359">
        <v>280898</v>
      </c>
      <c r="J359">
        <v>0</v>
      </c>
      <c r="K359">
        <v>0</v>
      </c>
      <c r="L359">
        <v>280898</v>
      </c>
      <c r="M359">
        <v>0</v>
      </c>
      <c r="N359" s="86" t="s">
        <v>1077</v>
      </c>
      <c r="O359" s="71"/>
      <c r="P359" s="71"/>
      <c r="Q359" s="71"/>
      <c r="R359" s="71"/>
      <c r="S359" s="71"/>
    </row>
    <row r="360" spans="1:19" x14ac:dyDescent="0.3">
      <c r="A360" s="86" t="s">
        <v>1082</v>
      </c>
      <c r="B360" s="86" t="s">
        <v>47</v>
      </c>
      <c r="C360" s="86" t="s">
        <v>860</v>
      </c>
      <c r="D360" s="86" t="s">
        <v>862</v>
      </c>
      <c r="E360" s="86" t="s">
        <v>861</v>
      </c>
      <c r="F360" s="86" t="s">
        <v>47</v>
      </c>
      <c r="G360" s="86" t="s">
        <v>48</v>
      </c>
      <c r="H360" s="86" t="s">
        <v>141</v>
      </c>
      <c r="I360">
        <v>119463</v>
      </c>
      <c r="J360">
        <v>0</v>
      </c>
      <c r="K360">
        <v>0</v>
      </c>
      <c r="L360">
        <v>119463</v>
      </c>
      <c r="M360">
        <v>0</v>
      </c>
      <c r="N360" s="86" t="s">
        <v>1077</v>
      </c>
      <c r="O360" s="71"/>
      <c r="P360" s="71"/>
      <c r="Q360" s="71"/>
      <c r="R360" s="71"/>
      <c r="S360" s="71"/>
    </row>
    <row r="361" spans="1:19" x14ac:dyDescent="0.3">
      <c r="A361" s="86" t="s">
        <v>1082</v>
      </c>
      <c r="B361" s="86" t="s">
        <v>47</v>
      </c>
      <c r="C361" s="86" t="s">
        <v>863</v>
      </c>
      <c r="D361" s="86" t="s">
        <v>865</v>
      </c>
      <c r="E361" s="86" t="s">
        <v>864</v>
      </c>
      <c r="F361" s="86" t="s">
        <v>47</v>
      </c>
      <c r="G361" s="86" t="s">
        <v>48</v>
      </c>
      <c r="H361" s="86" t="s">
        <v>141</v>
      </c>
      <c r="I361">
        <v>42268</v>
      </c>
      <c r="J361">
        <v>0</v>
      </c>
      <c r="K361">
        <v>0</v>
      </c>
      <c r="L361">
        <v>42268</v>
      </c>
      <c r="M361">
        <v>0</v>
      </c>
      <c r="N361" s="86" t="s">
        <v>1077</v>
      </c>
      <c r="O361" s="71"/>
      <c r="P361" s="71"/>
      <c r="Q361" s="71"/>
      <c r="R361" s="71"/>
      <c r="S361" s="71"/>
    </row>
    <row r="362" spans="1:19" x14ac:dyDescent="0.3">
      <c r="A362" s="86" t="s">
        <v>1082</v>
      </c>
      <c r="B362" s="86" t="s">
        <v>47</v>
      </c>
      <c r="C362" s="86" t="s">
        <v>866</v>
      </c>
      <c r="D362" s="86" t="s">
        <v>868</v>
      </c>
      <c r="E362" s="86" t="s">
        <v>867</v>
      </c>
      <c r="F362" s="86" t="s">
        <v>47</v>
      </c>
      <c r="G362" s="86" t="s">
        <v>48</v>
      </c>
      <c r="H362" s="86" t="s">
        <v>141</v>
      </c>
      <c r="I362">
        <v>79941</v>
      </c>
      <c r="J362">
        <v>0</v>
      </c>
      <c r="K362">
        <v>0</v>
      </c>
      <c r="L362">
        <v>79941</v>
      </c>
      <c r="M362">
        <v>0</v>
      </c>
      <c r="N362" s="86" t="s">
        <v>1077</v>
      </c>
      <c r="O362" s="71"/>
      <c r="P362" s="71"/>
      <c r="Q362" s="71"/>
      <c r="R362" s="71"/>
      <c r="S362" s="71"/>
    </row>
    <row r="363" spans="1:19" x14ac:dyDescent="0.3">
      <c r="A363" s="86" t="s">
        <v>1082</v>
      </c>
      <c r="B363" s="86" t="s">
        <v>47</v>
      </c>
      <c r="C363" s="86" t="s">
        <v>875</v>
      </c>
      <c r="D363" s="86" t="s">
        <v>877</v>
      </c>
      <c r="E363" s="86" t="s">
        <v>876</v>
      </c>
      <c r="F363" s="86" t="s">
        <v>47</v>
      </c>
      <c r="G363" s="86" t="s">
        <v>48</v>
      </c>
      <c r="H363" s="86" t="s">
        <v>141</v>
      </c>
      <c r="I363">
        <v>38435</v>
      </c>
      <c r="J363">
        <v>0</v>
      </c>
      <c r="K363">
        <v>0</v>
      </c>
      <c r="L363">
        <v>38435</v>
      </c>
      <c r="M363">
        <v>0</v>
      </c>
      <c r="N363" s="86" t="s">
        <v>1077</v>
      </c>
      <c r="O363" s="71"/>
      <c r="P363" s="71"/>
      <c r="Q363" s="71"/>
      <c r="R363" s="71"/>
      <c r="S363" s="71"/>
    </row>
    <row r="364" spans="1:19" x14ac:dyDescent="0.3">
      <c r="A364" s="86" t="s">
        <v>1082</v>
      </c>
      <c r="B364" s="86" t="s">
        <v>47</v>
      </c>
      <c r="C364" s="86" t="s">
        <v>878</v>
      </c>
      <c r="D364" s="86" t="s">
        <v>880</v>
      </c>
      <c r="E364" s="86" t="s">
        <v>879</v>
      </c>
      <c r="F364" s="86" t="s">
        <v>47</v>
      </c>
      <c r="G364" s="86" t="s">
        <v>48</v>
      </c>
      <c r="H364" s="86" t="s">
        <v>141</v>
      </c>
      <c r="I364">
        <v>71043</v>
      </c>
      <c r="J364">
        <v>0</v>
      </c>
      <c r="K364">
        <v>0</v>
      </c>
      <c r="L364">
        <v>71043</v>
      </c>
      <c r="M364">
        <v>0</v>
      </c>
      <c r="N364" s="86" t="s">
        <v>1077</v>
      </c>
      <c r="O364" s="71"/>
      <c r="P364" s="71"/>
      <c r="Q364" s="71"/>
      <c r="R364" s="71"/>
      <c r="S364" s="71"/>
    </row>
    <row r="365" spans="1:19" x14ac:dyDescent="0.3">
      <c r="A365" s="86" t="s">
        <v>1082</v>
      </c>
      <c r="B365" s="86" t="s">
        <v>47</v>
      </c>
      <c r="C365" s="86" t="s">
        <v>881</v>
      </c>
      <c r="D365" s="86" t="s">
        <v>883</v>
      </c>
      <c r="E365" s="86" t="s">
        <v>882</v>
      </c>
      <c r="F365" s="86" t="s">
        <v>47</v>
      </c>
      <c r="G365" s="86" t="s">
        <v>48</v>
      </c>
      <c r="H365" s="86" t="s">
        <v>141</v>
      </c>
      <c r="I365">
        <v>54128</v>
      </c>
      <c r="J365">
        <v>0</v>
      </c>
      <c r="K365">
        <v>3775</v>
      </c>
      <c r="L365">
        <v>50353</v>
      </c>
      <c r="M365">
        <v>0</v>
      </c>
      <c r="N365" s="86" t="s">
        <v>1077</v>
      </c>
      <c r="O365" s="71"/>
      <c r="P365" s="71"/>
      <c r="Q365" s="71"/>
      <c r="R365" s="71"/>
      <c r="S365" s="71"/>
    </row>
    <row r="366" spans="1:19" x14ac:dyDescent="0.3">
      <c r="A366" s="86" t="s">
        <v>1082</v>
      </c>
      <c r="B366" s="86" t="s">
        <v>47</v>
      </c>
      <c r="C366" s="86" t="s">
        <v>884</v>
      </c>
      <c r="D366" s="86" t="s">
        <v>886</v>
      </c>
      <c r="E366" s="86" t="s">
        <v>885</v>
      </c>
      <c r="F366" s="86" t="s">
        <v>47</v>
      </c>
      <c r="G366" s="86" t="s">
        <v>48</v>
      </c>
      <c r="H366" s="86" t="s">
        <v>141</v>
      </c>
      <c r="I366">
        <v>69537</v>
      </c>
      <c r="J366">
        <v>0</v>
      </c>
      <c r="K366">
        <v>13915</v>
      </c>
      <c r="L366">
        <v>55622</v>
      </c>
      <c r="M366">
        <v>0</v>
      </c>
      <c r="N366" s="86" t="s">
        <v>1077</v>
      </c>
      <c r="O366" s="71"/>
      <c r="P366" s="71"/>
      <c r="Q366" s="71"/>
      <c r="R366" s="71"/>
      <c r="S366" s="71"/>
    </row>
    <row r="367" spans="1:19" x14ac:dyDescent="0.3">
      <c r="A367" s="86" t="s">
        <v>1082</v>
      </c>
      <c r="B367" s="86" t="s">
        <v>47</v>
      </c>
      <c r="C367" s="86" t="s">
        <v>887</v>
      </c>
      <c r="D367" s="86" t="s">
        <v>889</v>
      </c>
      <c r="E367" s="86" t="s">
        <v>888</v>
      </c>
      <c r="F367" s="86" t="s">
        <v>47</v>
      </c>
      <c r="G367" s="86" t="s">
        <v>48</v>
      </c>
      <c r="H367" s="86" t="s">
        <v>141</v>
      </c>
      <c r="I367">
        <v>141422</v>
      </c>
      <c r="J367">
        <v>0</v>
      </c>
      <c r="K367">
        <v>36705</v>
      </c>
      <c r="L367">
        <v>104717</v>
      </c>
      <c r="M367">
        <v>0</v>
      </c>
      <c r="N367" s="86" t="s">
        <v>1077</v>
      </c>
      <c r="O367" s="71"/>
      <c r="P367" s="71"/>
      <c r="Q367" s="71"/>
      <c r="R367" s="71"/>
      <c r="S367" s="71"/>
    </row>
    <row r="368" spans="1:19" x14ac:dyDescent="0.3">
      <c r="A368" s="86" t="s">
        <v>1082</v>
      </c>
      <c r="B368" s="86" t="s">
        <v>47</v>
      </c>
      <c r="C368" s="86" t="s">
        <v>929</v>
      </c>
      <c r="D368" s="86" t="s">
        <v>931</v>
      </c>
      <c r="E368" s="86" t="s">
        <v>930</v>
      </c>
      <c r="F368" s="86" t="s">
        <v>47</v>
      </c>
      <c r="G368" s="86" t="s">
        <v>48</v>
      </c>
      <c r="H368" s="86" t="s">
        <v>141</v>
      </c>
      <c r="I368">
        <v>9466</v>
      </c>
      <c r="J368">
        <v>0</v>
      </c>
      <c r="K368">
        <v>0</v>
      </c>
      <c r="L368">
        <v>9466</v>
      </c>
      <c r="M368">
        <v>0</v>
      </c>
      <c r="N368" s="86" t="s">
        <v>1077</v>
      </c>
      <c r="O368" s="71"/>
      <c r="P368" s="71"/>
      <c r="Q368" s="71"/>
      <c r="R368" s="71"/>
      <c r="S368" s="71"/>
    </row>
    <row r="369" spans="1:19" x14ac:dyDescent="0.3">
      <c r="A369" s="86" t="s">
        <v>1082</v>
      </c>
      <c r="B369" s="86" t="s">
        <v>47</v>
      </c>
      <c r="C369" s="86" t="s">
        <v>932</v>
      </c>
      <c r="D369" s="86" t="s">
        <v>934</v>
      </c>
      <c r="E369" s="86" t="s">
        <v>933</v>
      </c>
      <c r="F369" s="86" t="s">
        <v>47</v>
      </c>
      <c r="G369" s="86" t="s">
        <v>48</v>
      </c>
      <c r="H369" s="86" t="s">
        <v>141</v>
      </c>
      <c r="I369">
        <v>21259</v>
      </c>
      <c r="J369">
        <v>0</v>
      </c>
      <c r="K369">
        <v>0</v>
      </c>
      <c r="L369">
        <v>21259</v>
      </c>
      <c r="M369">
        <v>0</v>
      </c>
      <c r="N369" s="86" t="s">
        <v>1077</v>
      </c>
      <c r="O369" s="71"/>
      <c r="P369" s="71"/>
      <c r="Q369" s="71"/>
      <c r="R369" s="71"/>
      <c r="S369" s="71"/>
    </row>
    <row r="370" spans="1:19" x14ac:dyDescent="0.3">
      <c r="A370" s="86" t="s">
        <v>1082</v>
      </c>
      <c r="B370" s="86" t="s">
        <v>47</v>
      </c>
      <c r="C370" s="86" t="s">
        <v>935</v>
      </c>
      <c r="D370" s="86" t="s">
        <v>937</v>
      </c>
      <c r="E370" s="86" t="s">
        <v>936</v>
      </c>
      <c r="F370" s="86" t="s">
        <v>47</v>
      </c>
      <c r="G370" s="86" t="s">
        <v>48</v>
      </c>
      <c r="H370" s="86" t="s">
        <v>141</v>
      </c>
      <c r="I370">
        <v>8100</v>
      </c>
      <c r="J370">
        <v>0</v>
      </c>
      <c r="K370">
        <v>0</v>
      </c>
      <c r="L370">
        <v>8100</v>
      </c>
      <c r="M370">
        <v>0</v>
      </c>
      <c r="N370" s="86" t="s">
        <v>1077</v>
      </c>
      <c r="O370" s="71"/>
      <c r="P370" s="71"/>
      <c r="Q370" s="71"/>
      <c r="R370" s="71"/>
      <c r="S370" s="71"/>
    </row>
    <row r="371" spans="1:19" x14ac:dyDescent="0.3">
      <c r="A371" s="86" t="s">
        <v>1082</v>
      </c>
      <c r="B371" s="86" t="s">
        <v>47</v>
      </c>
      <c r="C371" s="86" t="s">
        <v>938</v>
      </c>
      <c r="D371" s="86" t="s">
        <v>940</v>
      </c>
      <c r="E371" s="86" t="s">
        <v>939</v>
      </c>
      <c r="F371" s="86" t="s">
        <v>47</v>
      </c>
      <c r="G371" s="86" t="s">
        <v>48</v>
      </c>
      <c r="H371" s="86" t="s">
        <v>141</v>
      </c>
      <c r="I371">
        <v>13859</v>
      </c>
      <c r="J371">
        <v>0</v>
      </c>
      <c r="K371">
        <v>0</v>
      </c>
      <c r="L371">
        <v>13859</v>
      </c>
      <c r="M371">
        <v>0</v>
      </c>
      <c r="N371" s="86" t="s">
        <v>1077</v>
      </c>
      <c r="O371" s="71"/>
      <c r="P371" s="71"/>
      <c r="Q371" s="71"/>
      <c r="R371" s="71"/>
      <c r="S371" s="71"/>
    </row>
    <row r="372" spans="1:19" x14ac:dyDescent="0.3">
      <c r="A372" s="86" t="s">
        <v>1082</v>
      </c>
      <c r="B372" s="86" t="s">
        <v>47</v>
      </c>
      <c r="C372" s="86" t="s">
        <v>941</v>
      </c>
      <c r="D372" s="86" t="s">
        <v>943</v>
      </c>
      <c r="E372" s="86" t="s">
        <v>942</v>
      </c>
      <c r="F372" s="86" t="s">
        <v>47</v>
      </c>
      <c r="G372" s="86" t="s">
        <v>48</v>
      </c>
      <c r="H372" s="86" t="s">
        <v>141</v>
      </c>
      <c r="I372">
        <v>48060</v>
      </c>
      <c r="J372">
        <v>0</v>
      </c>
      <c r="K372">
        <v>0</v>
      </c>
      <c r="L372">
        <v>48060</v>
      </c>
      <c r="M372">
        <v>0</v>
      </c>
      <c r="N372" s="86" t="s">
        <v>1077</v>
      </c>
      <c r="O372" s="71"/>
      <c r="P372" s="71"/>
      <c r="Q372" s="71"/>
      <c r="R372" s="71"/>
      <c r="S372" s="71"/>
    </row>
    <row r="373" spans="1:19" x14ac:dyDescent="0.3">
      <c r="A373" s="86" t="s">
        <v>1082</v>
      </c>
      <c r="B373" s="86" t="s">
        <v>47</v>
      </c>
      <c r="C373" s="86" t="s">
        <v>944</v>
      </c>
      <c r="D373" s="86" t="s">
        <v>946</v>
      </c>
      <c r="E373" s="86" t="s">
        <v>945</v>
      </c>
      <c r="F373" s="86" t="s">
        <v>47</v>
      </c>
      <c r="G373" s="86" t="s">
        <v>48</v>
      </c>
      <c r="H373" s="86" t="s">
        <v>141</v>
      </c>
      <c r="I373">
        <v>0</v>
      </c>
      <c r="J373">
        <v>48000</v>
      </c>
      <c r="K373">
        <v>0</v>
      </c>
      <c r="L373">
        <v>48000</v>
      </c>
      <c r="M373">
        <v>0</v>
      </c>
      <c r="N373" s="86" t="s">
        <v>1077</v>
      </c>
      <c r="O373" s="71"/>
      <c r="P373" s="71"/>
      <c r="Q373" s="71"/>
      <c r="R373" s="71"/>
      <c r="S373" s="71"/>
    </row>
    <row r="374" spans="1:19" x14ac:dyDescent="0.3">
      <c r="A374" s="86" t="s">
        <v>1082</v>
      </c>
      <c r="B374" s="86" t="s">
        <v>47</v>
      </c>
      <c r="C374" s="86" t="s">
        <v>962</v>
      </c>
      <c r="D374" s="86" t="s">
        <v>964</v>
      </c>
      <c r="E374" s="86" t="s">
        <v>963</v>
      </c>
      <c r="F374" s="86" t="s">
        <v>47</v>
      </c>
      <c r="G374" s="86" t="s">
        <v>48</v>
      </c>
      <c r="H374" s="86" t="s">
        <v>141</v>
      </c>
      <c r="I374">
        <v>75353</v>
      </c>
      <c r="J374">
        <v>0</v>
      </c>
      <c r="K374">
        <v>3870</v>
      </c>
      <c r="L374">
        <v>71483</v>
      </c>
      <c r="M374">
        <v>0</v>
      </c>
      <c r="N374" s="86" t="s">
        <v>1077</v>
      </c>
      <c r="O374" s="71"/>
      <c r="P374" s="71"/>
      <c r="Q374" s="71"/>
      <c r="R374" s="71"/>
      <c r="S374" s="71"/>
    </row>
    <row r="375" spans="1:19" x14ac:dyDescent="0.3">
      <c r="A375" s="86" t="s">
        <v>1082</v>
      </c>
      <c r="B375" s="86" t="s">
        <v>47</v>
      </c>
      <c r="C375" s="86" t="s">
        <v>965</v>
      </c>
      <c r="D375" s="86" t="s">
        <v>967</v>
      </c>
      <c r="E375" s="86" t="s">
        <v>966</v>
      </c>
      <c r="F375" s="86" t="s">
        <v>47</v>
      </c>
      <c r="G375" s="86" t="s">
        <v>48</v>
      </c>
      <c r="H375" s="86" t="s">
        <v>141</v>
      </c>
      <c r="I375">
        <v>0</v>
      </c>
      <c r="J375">
        <v>48000</v>
      </c>
      <c r="K375">
        <v>12040</v>
      </c>
      <c r="L375">
        <v>35960</v>
      </c>
      <c r="M375">
        <v>0</v>
      </c>
      <c r="N375" s="86" t="s">
        <v>1077</v>
      </c>
      <c r="O375" s="71"/>
      <c r="P375" s="71"/>
      <c r="Q375" s="71"/>
      <c r="R375" s="71"/>
      <c r="S375" s="71"/>
    </row>
    <row r="376" spans="1:19" x14ac:dyDescent="0.3">
      <c r="A376" s="86" t="s">
        <v>1082</v>
      </c>
      <c r="B376" s="86" t="s">
        <v>47</v>
      </c>
      <c r="C376" s="86" t="s">
        <v>968</v>
      </c>
      <c r="D376" s="86" t="s">
        <v>970</v>
      </c>
      <c r="E376" s="86" t="s">
        <v>969</v>
      </c>
      <c r="F376" s="86" t="s">
        <v>47</v>
      </c>
      <c r="G376" s="86" t="s">
        <v>48</v>
      </c>
      <c r="H376" s="86" t="s">
        <v>141</v>
      </c>
      <c r="I376">
        <v>0</v>
      </c>
      <c r="J376">
        <v>48000</v>
      </c>
      <c r="K376">
        <v>35280</v>
      </c>
      <c r="L376">
        <v>12720</v>
      </c>
      <c r="M376">
        <v>0</v>
      </c>
      <c r="N376" s="86" t="s">
        <v>1077</v>
      </c>
      <c r="O376" s="71"/>
      <c r="P376" s="71"/>
      <c r="Q376" s="71"/>
      <c r="R376" s="71"/>
      <c r="S376" s="71"/>
    </row>
    <row r="377" spans="1:19" x14ac:dyDescent="0.3">
      <c r="A377" s="86" t="s">
        <v>1082</v>
      </c>
      <c r="B377" s="86" t="s">
        <v>47</v>
      </c>
      <c r="C377" s="86" t="s">
        <v>1010</v>
      </c>
      <c r="D377" s="86" t="s">
        <v>1012</v>
      </c>
      <c r="E377" s="86" t="s">
        <v>1011</v>
      </c>
      <c r="F377" s="86" t="s">
        <v>47</v>
      </c>
      <c r="G377" s="86" t="s">
        <v>48</v>
      </c>
      <c r="H377" s="86" t="s">
        <v>141</v>
      </c>
      <c r="I377">
        <v>42044</v>
      </c>
      <c r="J377">
        <v>0</v>
      </c>
      <c r="K377">
        <v>7570</v>
      </c>
      <c r="L377">
        <v>34474</v>
      </c>
      <c r="M377">
        <v>0</v>
      </c>
      <c r="N377" s="86" t="s">
        <v>1077</v>
      </c>
      <c r="O377" s="71"/>
      <c r="P377" s="71"/>
      <c r="Q377" s="71"/>
      <c r="R377" s="71"/>
      <c r="S377" s="71"/>
    </row>
    <row r="378" spans="1:19" x14ac:dyDescent="0.3">
      <c r="A378" s="86" t="s">
        <v>1082</v>
      </c>
      <c r="B378" s="86" t="s">
        <v>47</v>
      </c>
      <c r="C378" s="86" t="s">
        <v>1013</v>
      </c>
      <c r="D378" s="86" t="s">
        <v>1015</v>
      </c>
      <c r="E378" s="86" t="s">
        <v>1014</v>
      </c>
      <c r="F378" s="86" t="s">
        <v>47</v>
      </c>
      <c r="G378" s="86" t="s">
        <v>48</v>
      </c>
      <c r="H378" s="86" t="s">
        <v>141</v>
      </c>
      <c r="I378">
        <v>46255</v>
      </c>
      <c r="J378">
        <v>0</v>
      </c>
      <c r="K378">
        <v>0</v>
      </c>
      <c r="L378">
        <v>46255</v>
      </c>
      <c r="M378">
        <v>0</v>
      </c>
      <c r="N378" s="86" t="s">
        <v>1077</v>
      </c>
      <c r="O378" s="71"/>
      <c r="P378" s="71"/>
      <c r="Q378" s="71"/>
      <c r="R378" s="71"/>
      <c r="S378" s="71"/>
    </row>
    <row r="379" spans="1:19" x14ac:dyDescent="0.3">
      <c r="A379" s="86" t="s">
        <v>1082</v>
      </c>
      <c r="B379" s="86" t="s">
        <v>47</v>
      </c>
      <c r="C379" s="86" t="s">
        <v>1028</v>
      </c>
      <c r="D379" s="86" t="s">
        <v>1030</v>
      </c>
      <c r="E379" s="86" t="s">
        <v>1029</v>
      </c>
      <c r="F379" s="86" t="s">
        <v>47</v>
      </c>
      <c r="G379" s="86" t="s">
        <v>48</v>
      </c>
      <c r="H379" s="86" t="s">
        <v>141</v>
      </c>
      <c r="I379">
        <v>0</v>
      </c>
      <c r="J379">
        <v>48000</v>
      </c>
      <c r="K379">
        <v>0</v>
      </c>
      <c r="L379">
        <v>48000</v>
      </c>
      <c r="M379">
        <v>0</v>
      </c>
      <c r="N379" s="86" t="s">
        <v>1077</v>
      </c>
      <c r="O379" s="71"/>
      <c r="P379" s="71"/>
      <c r="Q379" s="71"/>
      <c r="R379" s="71"/>
      <c r="S379" s="71"/>
    </row>
    <row r="380" spans="1:19" x14ac:dyDescent="0.3">
      <c r="A380" s="86" t="s">
        <v>1082</v>
      </c>
      <c r="B380" s="86" t="s">
        <v>47</v>
      </c>
      <c r="C380" s="86" t="s">
        <v>1040</v>
      </c>
      <c r="D380" s="86" t="s">
        <v>1042</v>
      </c>
      <c r="E380" s="86" t="s">
        <v>1041</v>
      </c>
      <c r="F380" s="86" t="s">
        <v>47</v>
      </c>
      <c r="G380" s="86" t="s">
        <v>48</v>
      </c>
      <c r="H380" s="86" t="s">
        <v>141</v>
      </c>
      <c r="I380">
        <v>0</v>
      </c>
      <c r="J380">
        <v>49000</v>
      </c>
      <c r="K380">
        <v>0</v>
      </c>
      <c r="L380">
        <v>49000</v>
      </c>
      <c r="M380">
        <v>0</v>
      </c>
      <c r="N380" s="86" t="s">
        <v>1077</v>
      </c>
      <c r="O380" s="71"/>
      <c r="P380" s="71"/>
      <c r="Q380" s="71"/>
      <c r="R380" s="71"/>
      <c r="S380" s="71"/>
    </row>
    <row r="381" spans="1:19" x14ac:dyDescent="0.3">
      <c r="A381" s="86" t="s">
        <v>1083</v>
      </c>
      <c r="B381" s="86" t="s">
        <v>47</v>
      </c>
      <c r="C381" s="86" t="s">
        <v>56</v>
      </c>
      <c r="D381" s="86" t="s">
        <v>58</v>
      </c>
      <c r="E381" s="86" t="s">
        <v>57</v>
      </c>
      <c r="F381" s="86" t="s">
        <v>47</v>
      </c>
      <c r="G381" s="86" t="s">
        <v>48</v>
      </c>
      <c r="H381" s="86" t="s">
        <v>141</v>
      </c>
      <c r="I381">
        <v>0</v>
      </c>
      <c r="J381">
        <v>0</v>
      </c>
      <c r="K381">
        <v>0</v>
      </c>
      <c r="L381">
        <v>0</v>
      </c>
      <c r="M381">
        <v>0</v>
      </c>
      <c r="N381" s="86" t="s">
        <v>1077</v>
      </c>
      <c r="O381" s="71"/>
      <c r="P381" s="71"/>
      <c r="Q381" s="71"/>
      <c r="R381" s="71"/>
      <c r="S381" s="71"/>
    </row>
    <row r="382" spans="1:19" x14ac:dyDescent="0.3">
      <c r="A382" s="86" t="s">
        <v>1083</v>
      </c>
      <c r="B382" s="86" t="s">
        <v>47</v>
      </c>
      <c r="C382" s="86" t="s">
        <v>180</v>
      </c>
      <c r="D382" s="86" t="s">
        <v>182</v>
      </c>
      <c r="E382" s="86" t="s">
        <v>181</v>
      </c>
      <c r="F382" s="86" t="s">
        <v>47</v>
      </c>
      <c r="G382" s="86" t="s">
        <v>48</v>
      </c>
      <c r="H382" s="86" t="s">
        <v>141</v>
      </c>
      <c r="I382">
        <v>98762</v>
      </c>
      <c r="J382">
        <v>0</v>
      </c>
      <c r="K382">
        <v>0</v>
      </c>
      <c r="L382">
        <v>98762</v>
      </c>
      <c r="M382">
        <v>0</v>
      </c>
      <c r="N382" s="86" t="s">
        <v>1077</v>
      </c>
      <c r="O382" s="71"/>
      <c r="P382" s="71"/>
      <c r="Q382" s="71"/>
      <c r="R382" s="71"/>
      <c r="S382" s="71"/>
    </row>
    <row r="383" spans="1:19" x14ac:dyDescent="0.3">
      <c r="A383" s="86" t="s">
        <v>1083</v>
      </c>
      <c r="B383" s="86" t="s">
        <v>47</v>
      </c>
      <c r="C383" s="86" t="s">
        <v>192</v>
      </c>
      <c r="D383" s="86" t="s">
        <v>194</v>
      </c>
      <c r="E383" s="86" t="s">
        <v>193</v>
      </c>
      <c r="F383" s="86" t="s">
        <v>47</v>
      </c>
      <c r="G383" s="86" t="s">
        <v>48</v>
      </c>
      <c r="H383" s="86" t="s">
        <v>141</v>
      </c>
      <c r="I383">
        <v>0</v>
      </c>
      <c r="J383">
        <v>0</v>
      </c>
      <c r="K383">
        <v>0</v>
      </c>
      <c r="L383">
        <v>0</v>
      </c>
      <c r="M383">
        <v>0</v>
      </c>
      <c r="N383" s="86" t="s">
        <v>1077</v>
      </c>
      <c r="O383" s="71"/>
      <c r="P383" s="71"/>
      <c r="Q383" s="71"/>
      <c r="R383" s="71"/>
      <c r="S383" s="71"/>
    </row>
    <row r="384" spans="1:19" x14ac:dyDescent="0.3">
      <c r="A384" s="86" t="s">
        <v>1083</v>
      </c>
      <c r="B384" s="86" t="s">
        <v>47</v>
      </c>
      <c r="C384" s="86" t="s">
        <v>195</v>
      </c>
      <c r="D384" s="86" t="s">
        <v>197</v>
      </c>
      <c r="E384" s="86" t="s">
        <v>196</v>
      </c>
      <c r="F384" s="86" t="s">
        <v>47</v>
      </c>
      <c r="G384" s="86" t="s">
        <v>48</v>
      </c>
      <c r="H384" s="86" t="s">
        <v>141</v>
      </c>
      <c r="I384">
        <v>26386</v>
      </c>
      <c r="J384">
        <v>289000</v>
      </c>
      <c r="K384">
        <v>108894</v>
      </c>
      <c r="L384">
        <v>206492</v>
      </c>
      <c r="M384">
        <v>0</v>
      </c>
      <c r="N384" s="86" t="s">
        <v>1077</v>
      </c>
      <c r="O384" s="71"/>
      <c r="P384" s="71"/>
      <c r="Q384" s="71"/>
      <c r="R384" s="71"/>
      <c r="S384" s="71"/>
    </row>
    <row r="385" spans="1:19" x14ac:dyDescent="0.3">
      <c r="A385" s="86" t="s">
        <v>1083</v>
      </c>
      <c r="B385" s="86" t="s">
        <v>47</v>
      </c>
      <c r="C385" s="86" t="s">
        <v>209</v>
      </c>
      <c r="D385" s="86" t="s">
        <v>211</v>
      </c>
      <c r="E385" s="86" t="s">
        <v>210</v>
      </c>
      <c r="F385" s="86" t="s">
        <v>47</v>
      </c>
      <c r="G385" s="86" t="s">
        <v>48</v>
      </c>
      <c r="H385" s="86" t="s">
        <v>141</v>
      </c>
      <c r="I385">
        <v>46587</v>
      </c>
      <c r="J385">
        <v>0</v>
      </c>
      <c r="K385">
        <v>0</v>
      </c>
      <c r="L385">
        <v>46587</v>
      </c>
      <c r="M385">
        <v>0</v>
      </c>
      <c r="N385" s="86" t="s">
        <v>1077</v>
      </c>
      <c r="O385" s="71"/>
      <c r="P385" s="71"/>
      <c r="Q385" s="71"/>
      <c r="R385" s="71"/>
      <c r="S385" s="71"/>
    </row>
    <row r="386" spans="1:19" x14ac:dyDescent="0.3">
      <c r="A386" s="86" t="s">
        <v>1083</v>
      </c>
      <c r="B386" s="86" t="s">
        <v>47</v>
      </c>
      <c r="C386" s="86" t="s">
        <v>218</v>
      </c>
      <c r="D386" s="86" t="s">
        <v>220</v>
      </c>
      <c r="E386" s="86" t="s">
        <v>219</v>
      </c>
      <c r="F386" s="86" t="s">
        <v>47</v>
      </c>
      <c r="G386" s="86" t="s">
        <v>48</v>
      </c>
      <c r="H386" s="86" t="s">
        <v>141</v>
      </c>
      <c r="I386">
        <v>105135</v>
      </c>
      <c r="J386">
        <v>0</v>
      </c>
      <c r="K386">
        <v>0</v>
      </c>
      <c r="L386">
        <v>105135</v>
      </c>
      <c r="M386">
        <v>0</v>
      </c>
      <c r="N386" s="86" t="s">
        <v>1077</v>
      </c>
      <c r="O386" s="71"/>
      <c r="P386" s="71"/>
      <c r="Q386" s="71"/>
      <c r="R386" s="71"/>
      <c r="S386" s="71"/>
    </row>
    <row r="387" spans="1:19" x14ac:dyDescent="0.3">
      <c r="A387" s="86" t="s">
        <v>1083</v>
      </c>
      <c r="B387" s="86" t="s">
        <v>47</v>
      </c>
      <c r="C387" s="86" t="s">
        <v>282</v>
      </c>
      <c r="D387" s="86" t="s">
        <v>284</v>
      </c>
      <c r="E387" s="86" t="s">
        <v>283</v>
      </c>
      <c r="F387" s="86" t="s">
        <v>47</v>
      </c>
      <c r="G387" s="86" t="s">
        <v>48</v>
      </c>
      <c r="H387" s="86" t="s">
        <v>141</v>
      </c>
      <c r="I387">
        <v>0</v>
      </c>
      <c r="J387">
        <v>0</v>
      </c>
      <c r="K387">
        <v>0</v>
      </c>
      <c r="L387">
        <v>0</v>
      </c>
      <c r="M387">
        <v>0</v>
      </c>
      <c r="N387" s="86" t="s">
        <v>1077</v>
      </c>
      <c r="O387" s="71"/>
      <c r="P387" s="71"/>
      <c r="Q387" s="71"/>
      <c r="R387" s="71"/>
      <c r="S387" s="71"/>
    </row>
    <row r="388" spans="1:19" x14ac:dyDescent="0.3">
      <c r="A388" s="86" t="s">
        <v>1083</v>
      </c>
      <c r="B388" s="86" t="s">
        <v>47</v>
      </c>
      <c r="C388" s="86" t="s">
        <v>318</v>
      </c>
      <c r="D388" s="86" t="s">
        <v>320</v>
      </c>
      <c r="E388" s="86" t="s">
        <v>319</v>
      </c>
      <c r="F388" s="86" t="s">
        <v>47</v>
      </c>
      <c r="G388" s="86" t="s">
        <v>48</v>
      </c>
      <c r="H388" s="86" t="s">
        <v>141</v>
      </c>
      <c r="I388">
        <v>0</v>
      </c>
      <c r="J388">
        <v>0</v>
      </c>
      <c r="K388">
        <v>0</v>
      </c>
      <c r="L388">
        <v>0</v>
      </c>
      <c r="M388">
        <v>0</v>
      </c>
      <c r="N388" s="86" t="s">
        <v>1077</v>
      </c>
      <c r="O388" s="71"/>
      <c r="P388" s="71"/>
      <c r="Q388" s="71"/>
      <c r="R388" s="71"/>
      <c r="S388" s="71"/>
    </row>
    <row r="389" spans="1:19" x14ac:dyDescent="0.3">
      <c r="A389" s="86" t="s">
        <v>1083</v>
      </c>
      <c r="B389" s="86" t="s">
        <v>47</v>
      </c>
      <c r="C389" s="86" t="s">
        <v>327</v>
      </c>
      <c r="D389" s="86" t="s">
        <v>329</v>
      </c>
      <c r="E389" s="86" t="s">
        <v>328</v>
      </c>
      <c r="F389" s="86" t="s">
        <v>47</v>
      </c>
      <c r="G389" s="86" t="s">
        <v>48</v>
      </c>
      <c r="H389" s="86" t="s">
        <v>141</v>
      </c>
      <c r="I389">
        <v>0</v>
      </c>
      <c r="J389">
        <v>0</v>
      </c>
      <c r="K389">
        <v>0</v>
      </c>
      <c r="L389">
        <v>0</v>
      </c>
      <c r="M389">
        <v>0</v>
      </c>
      <c r="N389" s="86" t="s">
        <v>1077</v>
      </c>
      <c r="O389" s="71"/>
      <c r="P389" s="71"/>
      <c r="Q389" s="71"/>
      <c r="R389" s="71"/>
      <c r="S389" s="71"/>
    </row>
    <row r="390" spans="1:19" x14ac:dyDescent="0.3">
      <c r="A390" s="86" t="s">
        <v>1083</v>
      </c>
      <c r="B390" s="86" t="s">
        <v>47</v>
      </c>
      <c r="C390" s="86" t="s">
        <v>363</v>
      </c>
      <c r="D390" s="86" t="s">
        <v>365</v>
      </c>
      <c r="E390" s="86" t="s">
        <v>364</v>
      </c>
      <c r="F390" s="86" t="s">
        <v>47</v>
      </c>
      <c r="G390" s="86" t="s">
        <v>48</v>
      </c>
      <c r="H390" s="86" t="s">
        <v>141</v>
      </c>
      <c r="I390">
        <v>29349</v>
      </c>
      <c r="J390">
        <v>0</v>
      </c>
      <c r="K390">
        <v>0</v>
      </c>
      <c r="L390">
        <v>29349</v>
      </c>
      <c r="M390">
        <v>0</v>
      </c>
      <c r="N390" s="86" t="s">
        <v>1077</v>
      </c>
      <c r="O390" s="71"/>
      <c r="P390" s="71"/>
      <c r="Q390" s="71"/>
      <c r="R390" s="71"/>
      <c r="S390" s="71"/>
    </row>
    <row r="391" spans="1:19" x14ac:dyDescent="0.3">
      <c r="A391" s="86" t="s">
        <v>1083</v>
      </c>
      <c r="B391" s="86" t="s">
        <v>47</v>
      </c>
      <c r="C391" s="86" t="s">
        <v>378</v>
      </c>
      <c r="D391" s="86" t="s">
        <v>380</v>
      </c>
      <c r="E391" s="86" t="s">
        <v>379</v>
      </c>
      <c r="F391" s="86" t="s">
        <v>47</v>
      </c>
      <c r="G391" s="86" t="s">
        <v>48</v>
      </c>
      <c r="H391" s="86" t="s">
        <v>141</v>
      </c>
      <c r="I391">
        <v>305412</v>
      </c>
      <c r="J391">
        <v>1765000</v>
      </c>
      <c r="K391">
        <v>1636807</v>
      </c>
      <c r="L391">
        <v>433605</v>
      </c>
      <c r="M391">
        <v>0</v>
      </c>
      <c r="N391" s="86" t="s">
        <v>1077</v>
      </c>
      <c r="O391" s="71"/>
      <c r="P391" s="71"/>
      <c r="Q391" s="71"/>
      <c r="R391" s="71"/>
      <c r="S391" s="71"/>
    </row>
    <row r="392" spans="1:19" x14ac:dyDescent="0.3">
      <c r="A392" s="86" t="s">
        <v>1083</v>
      </c>
      <c r="B392" s="86" t="s">
        <v>47</v>
      </c>
      <c r="C392" s="86" t="s">
        <v>396</v>
      </c>
      <c r="D392" s="86" t="s">
        <v>398</v>
      </c>
      <c r="E392" s="86" t="s">
        <v>397</v>
      </c>
      <c r="F392" s="86" t="s">
        <v>47</v>
      </c>
      <c r="G392" s="86" t="s">
        <v>48</v>
      </c>
      <c r="H392" s="86" t="s">
        <v>141</v>
      </c>
      <c r="I392">
        <v>0</v>
      </c>
      <c r="J392">
        <v>0</v>
      </c>
      <c r="K392">
        <v>0</v>
      </c>
      <c r="L392">
        <v>0</v>
      </c>
      <c r="M392">
        <v>0</v>
      </c>
      <c r="N392" s="86" t="s">
        <v>1077</v>
      </c>
      <c r="O392" s="71"/>
      <c r="P392" s="71"/>
      <c r="Q392" s="71"/>
      <c r="R392" s="71"/>
      <c r="S392" s="71"/>
    </row>
    <row r="393" spans="1:19" x14ac:dyDescent="0.3">
      <c r="A393" s="86" t="s">
        <v>1083</v>
      </c>
      <c r="B393" s="86" t="s">
        <v>47</v>
      </c>
      <c r="C393" s="86" t="s">
        <v>396</v>
      </c>
      <c r="D393" s="86" t="s">
        <v>398</v>
      </c>
      <c r="E393" s="86" t="s">
        <v>397</v>
      </c>
      <c r="F393" s="86" t="s">
        <v>47</v>
      </c>
      <c r="G393" s="86" t="s">
        <v>48</v>
      </c>
      <c r="H393" s="86" t="s">
        <v>141</v>
      </c>
      <c r="I393">
        <v>52099</v>
      </c>
      <c r="J393">
        <v>0</v>
      </c>
      <c r="K393">
        <v>0</v>
      </c>
      <c r="L393">
        <v>52099</v>
      </c>
      <c r="M393">
        <v>0</v>
      </c>
      <c r="N393" s="86" t="s">
        <v>1077</v>
      </c>
      <c r="O393" s="71"/>
      <c r="P393" s="71"/>
      <c r="Q393" s="71"/>
      <c r="R393" s="71"/>
      <c r="S393" s="71"/>
    </row>
    <row r="394" spans="1:19" x14ac:dyDescent="0.3">
      <c r="A394" s="86" t="s">
        <v>1083</v>
      </c>
      <c r="B394" s="86" t="s">
        <v>47</v>
      </c>
      <c r="C394" s="86" t="s">
        <v>474</v>
      </c>
      <c r="D394" s="86" t="s">
        <v>476</v>
      </c>
      <c r="E394" s="86" t="s">
        <v>475</v>
      </c>
      <c r="F394" s="86" t="s">
        <v>47</v>
      </c>
      <c r="G394" s="86" t="s">
        <v>48</v>
      </c>
      <c r="H394" s="86" t="s">
        <v>141</v>
      </c>
      <c r="I394">
        <v>114572</v>
      </c>
      <c r="J394">
        <v>773000</v>
      </c>
      <c r="K394">
        <v>710404</v>
      </c>
      <c r="L394">
        <v>177168</v>
      </c>
      <c r="M394">
        <v>0</v>
      </c>
      <c r="N394" s="86" t="s">
        <v>1077</v>
      </c>
      <c r="O394" s="71"/>
      <c r="P394" s="71"/>
      <c r="Q394" s="71"/>
      <c r="R394" s="71"/>
      <c r="S394" s="71"/>
    </row>
    <row r="395" spans="1:19" x14ac:dyDescent="0.3">
      <c r="A395" s="86" t="s">
        <v>1083</v>
      </c>
      <c r="B395" s="86" t="s">
        <v>47</v>
      </c>
      <c r="C395" s="86" t="s">
        <v>559</v>
      </c>
      <c r="D395" s="86" t="s">
        <v>561</v>
      </c>
      <c r="E395" s="86" t="s">
        <v>560</v>
      </c>
      <c r="F395" s="86" t="s">
        <v>47</v>
      </c>
      <c r="G395" s="86" t="s">
        <v>48</v>
      </c>
      <c r="H395" s="86" t="s">
        <v>141</v>
      </c>
      <c r="I395">
        <v>233701</v>
      </c>
      <c r="J395">
        <v>0</v>
      </c>
      <c r="K395">
        <v>4051</v>
      </c>
      <c r="L395">
        <v>229650</v>
      </c>
      <c r="M395">
        <v>0</v>
      </c>
      <c r="N395" s="86" t="s">
        <v>1077</v>
      </c>
      <c r="O395" s="71"/>
      <c r="P395" s="71"/>
      <c r="Q395" s="71"/>
      <c r="R395" s="71"/>
      <c r="S395" s="71"/>
    </row>
    <row r="396" spans="1:19" x14ac:dyDescent="0.3">
      <c r="A396" s="86" t="s">
        <v>1083</v>
      </c>
      <c r="B396" s="86" t="s">
        <v>47</v>
      </c>
      <c r="C396" s="86" t="s">
        <v>571</v>
      </c>
      <c r="D396" s="86" t="s">
        <v>573</v>
      </c>
      <c r="E396" s="86" t="s">
        <v>572</v>
      </c>
      <c r="F396" s="86" t="s">
        <v>47</v>
      </c>
      <c r="G396" s="86" t="s">
        <v>48</v>
      </c>
      <c r="H396" s="86" t="s">
        <v>141</v>
      </c>
      <c r="I396">
        <v>8631</v>
      </c>
      <c r="J396">
        <v>0</v>
      </c>
      <c r="K396">
        <v>0</v>
      </c>
      <c r="L396">
        <v>8631</v>
      </c>
      <c r="M396">
        <v>0</v>
      </c>
      <c r="N396" s="86" t="s">
        <v>1077</v>
      </c>
      <c r="O396" s="71"/>
      <c r="P396" s="71"/>
      <c r="Q396" s="71"/>
      <c r="R396" s="71"/>
      <c r="S396" s="71"/>
    </row>
    <row r="397" spans="1:19" x14ac:dyDescent="0.3">
      <c r="A397" s="86" t="s">
        <v>1083</v>
      </c>
      <c r="B397" s="86" t="s">
        <v>47</v>
      </c>
      <c r="C397" s="86" t="s">
        <v>574</v>
      </c>
      <c r="D397" s="86" t="s">
        <v>576</v>
      </c>
      <c r="E397" s="86" t="s">
        <v>575</v>
      </c>
      <c r="F397" s="86" t="s">
        <v>47</v>
      </c>
      <c r="G397" s="86" t="s">
        <v>48</v>
      </c>
      <c r="H397" s="86" t="s">
        <v>141</v>
      </c>
      <c r="I397">
        <v>34773</v>
      </c>
      <c r="J397">
        <v>0</v>
      </c>
      <c r="K397">
        <v>0</v>
      </c>
      <c r="L397">
        <v>34773</v>
      </c>
      <c r="M397">
        <v>0</v>
      </c>
      <c r="N397" s="86" t="s">
        <v>1077</v>
      </c>
      <c r="O397" s="71"/>
      <c r="P397" s="71"/>
      <c r="Q397" s="71"/>
      <c r="R397" s="71"/>
      <c r="S397" s="71"/>
    </row>
    <row r="398" spans="1:19" x14ac:dyDescent="0.3">
      <c r="A398" s="86" t="s">
        <v>1083</v>
      </c>
      <c r="B398" s="86" t="s">
        <v>47</v>
      </c>
      <c r="C398" s="86" t="s">
        <v>586</v>
      </c>
      <c r="D398" s="86" t="s">
        <v>588</v>
      </c>
      <c r="E398" s="86" t="s">
        <v>587</v>
      </c>
      <c r="F398" s="86" t="s">
        <v>47</v>
      </c>
      <c r="G398" s="86" t="s">
        <v>48</v>
      </c>
      <c r="H398" s="86" t="s">
        <v>141</v>
      </c>
      <c r="I398">
        <v>61981</v>
      </c>
      <c r="J398">
        <v>0</v>
      </c>
      <c r="K398">
        <v>59193</v>
      </c>
      <c r="L398">
        <v>2788</v>
      </c>
      <c r="M398">
        <v>0</v>
      </c>
      <c r="N398" s="86" t="s">
        <v>1077</v>
      </c>
      <c r="O398" s="71"/>
      <c r="P398" s="71"/>
      <c r="Q398" s="71"/>
      <c r="R398" s="71"/>
      <c r="S398" s="71"/>
    </row>
    <row r="399" spans="1:19" x14ac:dyDescent="0.3">
      <c r="A399" s="86" t="s">
        <v>1083</v>
      </c>
      <c r="B399" s="86" t="s">
        <v>47</v>
      </c>
      <c r="C399" s="86" t="s">
        <v>601</v>
      </c>
      <c r="D399" s="86" t="s">
        <v>603</v>
      </c>
      <c r="E399" s="86" t="s">
        <v>602</v>
      </c>
      <c r="F399" s="86" t="s">
        <v>47</v>
      </c>
      <c r="G399" s="86" t="s">
        <v>48</v>
      </c>
      <c r="H399" s="86" t="s">
        <v>141</v>
      </c>
      <c r="I399">
        <v>48558</v>
      </c>
      <c r="J399">
        <v>0</v>
      </c>
      <c r="K399">
        <v>0</v>
      </c>
      <c r="L399">
        <v>48558</v>
      </c>
      <c r="M399">
        <v>0</v>
      </c>
      <c r="N399" s="86" t="s">
        <v>1077</v>
      </c>
      <c r="O399" s="71"/>
      <c r="P399" s="71"/>
      <c r="Q399" s="71"/>
      <c r="R399" s="71"/>
      <c r="S399" s="71"/>
    </row>
    <row r="400" spans="1:19" x14ac:dyDescent="0.3">
      <c r="A400" s="86" t="s">
        <v>1083</v>
      </c>
      <c r="B400" s="86" t="s">
        <v>47</v>
      </c>
      <c r="C400" s="86" t="s">
        <v>637</v>
      </c>
      <c r="D400" s="86" t="s">
        <v>639</v>
      </c>
      <c r="E400" s="86" t="s">
        <v>638</v>
      </c>
      <c r="F400" s="86" t="s">
        <v>47</v>
      </c>
      <c r="G400" s="86" t="s">
        <v>48</v>
      </c>
      <c r="H400" s="86" t="s">
        <v>141</v>
      </c>
      <c r="I400">
        <v>18322</v>
      </c>
      <c r="J400">
        <v>0</v>
      </c>
      <c r="K400">
        <v>0</v>
      </c>
      <c r="L400">
        <v>18322</v>
      </c>
      <c r="M400">
        <v>0</v>
      </c>
      <c r="N400" s="86" t="s">
        <v>1077</v>
      </c>
      <c r="O400" s="71"/>
      <c r="P400" s="71"/>
      <c r="Q400" s="71"/>
      <c r="R400" s="71"/>
      <c r="S400" s="71"/>
    </row>
    <row r="401" spans="1:19" x14ac:dyDescent="0.3">
      <c r="A401" s="86" t="s">
        <v>1083</v>
      </c>
      <c r="B401" s="86" t="s">
        <v>47</v>
      </c>
      <c r="C401" s="86" t="s">
        <v>646</v>
      </c>
      <c r="D401" s="86" t="s">
        <v>648</v>
      </c>
      <c r="E401" s="86" t="s">
        <v>647</v>
      </c>
      <c r="F401" s="86" t="s">
        <v>47</v>
      </c>
      <c r="G401" s="86" t="s">
        <v>48</v>
      </c>
      <c r="H401" s="86" t="s">
        <v>141</v>
      </c>
      <c r="I401">
        <v>55148</v>
      </c>
      <c r="J401">
        <v>0</v>
      </c>
      <c r="K401">
        <v>0</v>
      </c>
      <c r="L401">
        <v>55148</v>
      </c>
      <c r="M401">
        <v>0</v>
      </c>
      <c r="N401" s="86" t="s">
        <v>1077</v>
      </c>
      <c r="O401" s="71"/>
      <c r="P401" s="71"/>
      <c r="Q401" s="71"/>
      <c r="R401" s="71"/>
      <c r="S401" s="71"/>
    </row>
    <row r="402" spans="1:19" x14ac:dyDescent="0.3">
      <c r="A402" s="86" t="s">
        <v>1083</v>
      </c>
      <c r="B402" s="86" t="s">
        <v>47</v>
      </c>
      <c r="C402" s="86" t="s">
        <v>649</v>
      </c>
      <c r="D402" s="86" t="s">
        <v>651</v>
      </c>
      <c r="E402" s="86" t="s">
        <v>650</v>
      </c>
      <c r="F402" s="86" t="s">
        <v>47</v>
      </c>
      <c r="G402" s="86" t="s">
        <v>48</v>
      </c>
      <c r="H402" s="86" t="s">
        <v>141</v>
      </c>
      <c r="I402">
        <v>85837</v>
      </c>
      <c r="J402">
        <v>240000</v>
      </c>
      <c r="K402">
        <v>240658</v>
      </c>
      <c r="L402">
        <v>85179</v>
      </c>
      <c r="M402">
        <v>0</v>
      </c>
      <c r="N402" s="86" t="s">
        <v>1077</v>
      </c>
      <c r="O402" s="71"/>
      <c r="P402" s="71"/>
      <c r="Q402" s="71"/>
      <c r="R402" s="71"/>
      <c r="S402" s="71"/>
    </row>
    <row r="403" spans="1:19" x14ac:dyDescent="0.3">
      <c r="A403" s="86" t="s">
        <v>1083</v>
      </c>
      <c r="B403" s="86" t="s">
        <v>47</v>
      </c>
      <c r="C403" s="86" t="s">
        <v>652</v>
      </c>
      <c r="D403" s="86" t="s">
        <v>654</v>
      </c>
      <c r="E403" s="86" t="s">
        <v>653</v>
      </c>
      <c r="F403" s="86" t="s">
        <v>47</v>
      </c>
      <c r="G403" s="86" t="s">
        <v>48</v>
      </c>
      <c r="H403" s="86" t="s">
        <v>141</v>
      </c>
      <c r="I403">
        <v>25826</v>
      </c>
      <c r="J403">
        <v>0</v>
      </c>
      <c r="K403">
        <v>0</v>
      </c>
      <c r="L403">
        <v>25826</v>
      </c>
      <c r="M403">
        <v>0</v>
      </c>
      <c r="N403" s="86" t="s">
        <v>1077</v>
      </c>
      <c r="O403" s="71"/>
      <c r="P403" s="71"/>
      <c r="Q403" s="71"/>
      <c r="R403" s="71"/>
      <c r="S403" s="71"/>
    </row>
    <row r="404" spans="1:19" x14ac:dyDescent="0.3">
      <c r="A404" s="86" t="s">
        <v>1083</v>
      </c>
      <c r="B404" s="86" t="s">
        <v>47</v>
      </c>
      <c r="C404" s="86" t="s">
        <v>666</v>
      </c>
      <c r="D404" s="86" t="s">
        <v>668</v>
      </c>
      <c r="E404" s="86" t="s">
        <v>667</v>
      </c>
      <c r="F404" s="86" t="s">
        <v>47</v>
      </c>
      <c r="G404" s="86" t="s">
        <v>48</v>
      </c>
      <c r="H404" s="86" t="s">
        <v>141</v>
      </c>
      <c r="I404">
        <v>191374</v>
      </c>
      <c r="J404">
        <v>0</v>
      </c>
      <c r="K404">
        <v>1125</v>
      </c>
      <c r="L404">
        <v>190249</v>
      </c>
      <c r="M404">
        <v>0</v>
      </c>
      <c r="N404" s="86" t="s">
        <v>1077</v>
      </c>
      <c r="O404" s="71"/>
      <c r="P404" s="71"/>
      <c r="Q404" s="71"/>
      <c r="R404" s="71"/>
      <c r="S404" s="71"/>
    </row>
    <row r="405" spans="1:19" x14ac:dyDescent="0.3">
      <c r="A405" s="86" t="s">
        <v>1083</v>
      </c>
      <c r="B405" s="86" t="s">
        <v>47</v>
      </c>
      <c r="C405" s="86" t="s">
        <v>702</v>
      </c>
      <c r="D405" s="86" t="s">
        <v>704</v>
      </c>
      <c r="E405" s="86" t="s">
        <v>703</v>
      </c>
      <c r="F405" s="86" t="s">
        <v>47</v>
      </c>
      <c r="G405" s="86" t="s">
        <v>48</v>
      </c>
      <c r="H405" s="86" t="s">
        <v>141</v>
      </c>
      <c r="I405">
        <v>27544</v>
      </c>
      <c r="J405">
        <v>0</v>
      </c>
      <c r="K405">
        <v>27017</v>
      </c>
      <c r="L405">
        <v>527</v>
      </c>
      <c r="M405">
        <v>0</v>
      </c>
      <c r="N405" s="86" t="s">
        <v>1077</v>
      </c>
      <c r="O405" s="71"/>
      <c r="P405" s="71"/>
      <c r="Q405" s="71"/>
      <c r="R405" s="71"/>
      <c r="S405" s="71"/>
    </row>
    <row r="406" spans="1:19" x14ac:dyDescent="0.3">
      <c r="A406" s="86" t="s">
        <v>1083</v>
      </c>
      <c r="B406" s="86" t="s">
        <v>47</v>
      </c>
      <c r="C406" s="86" t="s">
        <v>705</v>
      </c>
      <c r="D406" s="86" t="s">
        <v>707</v>
      </c>
      <c r="E406" s="86" t="s">
        <v>706</v>
      </c>
      <c r="F406" s="86" t="s">
        <v>47</v>
      </c>
      <c r="G406" s="86" t="s">
        <v>48</v>
      </c>
      <c r="H406" s="86" t="s">
        <v>141</v>
      </c>
      <c r="I406">
        <v>49868</v>
      </c>
      <c r="J406">
        <v>0</v>
      </c>
      <c r="K406">
        <v>33103</v>
      </c>
      <c r="L406">
        <v>16765</v>
      </c>
      <c r="M406">
        <v>0</v>
      </c>
      <c r="N406" s="86" t="s">
        <v>1077</v>
      </c>
      <c r="O406" s="71"/>
      <c r="P406" s="71"/>
      <c r="Q406" s="71"/>
      <c r="R406" s="71"/>
      <c r="S406" s="71"/>
    </row>
    <row r="407" spans="1:19" x14ac:dyDescent="0.3">
      <c r="A407" s="86" t="s">
        <v>1083</v>
      </c>
      <c r="B407" s="86" t="s">
        <v>47</v>
      </c>
      <c r="C407" s="86" t="s">
        <v>708</v>
      </c>
      <c r="D407" s="86" t="s">
        <v>710</v>
      </c>
      <c r="E407" s="86" t="s">
        <v>709</v>
      </c>
      <c r="F407" s="86" t="s">
        <v>47</v>
      </c>
      <c r="G407" s="86" t="s">
        <v>48</v>
      </c>
      <c r="H407" s="86" t="s">
        <v>141</v>
      </c>
      <c r="I407">
        <v>53982</v>
      </c>
      <c r="J407">
        <v>0</v>
      </c>
      <c r="K407">
        <v>0</v>
      </c>
      <c r="L407">
        <v>53982</v>
      </c>
      <c r="M407">
        <v>0</v>
      </c>
      <c r="N407" s="86" t="s">
        <v>1077</v>
      </c>
      <c r="O407" s="71"/>
      <c r="P407" s="71"/>
      <c r="Q407" s="71"/>
      <c r="R407" s="71"/>
      <c r="S407" s="71"/>
    </row>
    <row r="408" spans="1:19" x14ac:dyDescent="0.3">
      <c r="A408" s="86" t="s">
        <v>1083</v>
      </c>
      <c r="B408" s="86" t="s">
        <v>47</v>
      </c>
      <c r="C408" s="86" t="s">
        <v>753</v>
      </c>
      <c r="D408" s="86" t="s">
        <v>755</v>
      </c>
      <c r="E408" s="86" t="s">
        <v>754</v>
      </c>
      <c r="F408" s="86" t="s">
        <v>47</v>
      </c>
      <c r="G408" s="86" t="s">
        <v>48</v>
      </c>
      <c r="H408" s="86" t="s">
        <v>141</v>
      </c>
      <c r="I408">
        <v>12064</v>
      </c>
      <c r="J408">
        <v>0</v>
      </c>
      <c r="K408">
        <v>24422</v>
      </c>
      <c r="L408">
        <v>-12358</v>
      </c>
      <c r="M408">
        <v>0</v>
      </c>
      <c r="N408" s="86" t="s">
        <v>1077</v>
      </c>
      <c r="O408" s="71"/>
      <c r="P408" s="71"/>
      <c r="Q408" s="71"/>
      <c r="R408" s="71"/>
      <c r="S408" s="71"/>
    </row>
    <row r="409" spans="1:19" x14ac:dyDescent="0.3">
      <c r="A409" s="86" t="s">
        <v>1083</v>
      </c>
      <c r="B409" s="86" t="s">
        <v>47</v>
      </c>
      <c r="C409" s="86" t="s">
        <v>783</v>
      </c>
      <c r="D409" s="86" t="s">
        <v>785</v>
      </c>
      <c r="E409" s="86" t="s">
        <v>784</v>
      </c>
      <c r="F409" s="86" t="s">
        <v>47</v>
      </c>
      <c r="G409" s="86" t="s">
        <v>48</v>
      </c>
      <c r="H409" s="86" t="s">
        <v>141</v>
      </c>
      <c r="I409">
        <v>91482</v>
      </c>
      <c r="J409">
        <v>0</v>
      </c>
      <c r="K409">
        <v>0</v>
      </c>
      <c r="L409">
        <v>91482</v>
      </c>
      <c r="M409">
        <v>0</v>
      </c>
      <c r="N409" s="86" t="s">
        <v>1077</v>
      </c>
      <c r="O409" s="71"/>
      <c r="P409" s="71"/>
      <c r="Q409" s="71"/>
      <c r="R409" s="71"/>
      <c r="S409" s="71"/>
    </row>
    <row r="410" spans="1:19" x14ac:dyDescent="0.3">
      <c r="A410" s="86" t="s">
        <v>1083</v>
      </c>
      <c r="B410" s="86" t="s">
        <v>47</v>
      </c>
      <c r="C410" s="86" t="s">
        <v>801</v>
      </c>
      <c r="D410" s="86" t="s">
        <v>803</v>
      </c>
      <c r="E410" s="86" t="s">
        <v>802</v>
      </c>
      <c r="F410" s="86" t="s">
        <v>47</v>
      </c>
      <c r="G410" s="86" t="s">
        <v>48</v>
      </c>
      <c r="H410" s="86" t="s">
        <v>141</v>
      </c>
      <c r="I410">
        <v>108500</v>
      </c>
      <c r="J410">
        <v>0</v>
      </c>
      <c r="K410">
        <v>0</v>
      </c>
      <c r="L410">
        <v>108500</v>
      </c>
      <c r="M410">
        <v>0</v>
      </c>
      <c r="N410" s="86" t="s">
        <v>1077</v>
      </c>
      <c r="O410" s="71"/>
      <c r="P410" s="71"/>
      <c r="Q410" s="71"/>
      <c r="R410" s="71"/>
      <c r="S410" s="71"/>
    </row>
    <row r="411" spans="1:19" x14ac:dyDescent="0.3">
      <c r="A411" s="86" t="s">
        <v>1083</v>
      </c>
      <c r="B411" s="86" t="s">
        <v>47</v>
      </c>
      <c r="C411" s="86" t="s">
        <v>813</v>
      </c>
      <c r="D411" s="86" t="s">
        <v>815</v>
      </c>
      <c r="E411" s="86" t="s">
        <v>814</v>
      </c>
      <c r="F411" s="86" t="s">
        <v>47</v>
      </c>
      <c r="G411" s="86" t="s">
        <v>48</v>
      </c>
      <c r="H411" s="86" t="s">
        <v>141</v>
      </c>
      <c r="I411">
        <v>40616</v>
      </c>
      <c r="J411">
        <v>0</v>
      </c>
      <c r="K411">
        <v>41111</v>
      </c>
      <c r="L411">
        <v>-495</v>
      </c>
      <c r="M411">
        <v>0</v>
      </c>
      <c r="N411" s="86" t="s">
        <v>1077</v>
      </c>
      <c r="O411" s="71"/>
      <c r="P411" s="71"/>
      <c r="Q411" s="71"/>
      <c r="R411" s="71"/>
      <c r="S411" s="71"/>
    </row>
    <row r="412" spans="1:19" x14ac:dyDescent="0.3">
      <c r="A412" s="86" t="s">
        <v>1083</v>
      </c>
      <c r="B412" s="86" t="s">
        <v>47</v>
      </c>
      <c r="C412" s="86" t="s">
        <v>843</v>
      </c>
      <c r="D412" s="86" t="s">
        <v>845</v>
      </c>
      <c r="E412" s="86" t="s">
        <v>844</v>
      </c>
      <c r="F412" s="86" t="s">
        <v>47</v>
      </c>
      <c r="G412" s="86" t="s">
        <v>48</v>
      </c>
      <c r="H412" s="86" t="s">
        <v>141</v>
      </c>
      <c r="I412">
        <v>38952</v>
      </c>
      <c r="J412">
        <v>0</v>
      </c>
      <c r="K412">
        <v>0</v>
      </c>
      <c r="L412">
        <v>38952</v>
      </c>
      <c r="M412">
        <v>0</v>
      </c>
      <c r="N412" s="86" t="s">
        <v>1077</v>
      </c>
      <c r="O412" s="71"/>
      <c r="P412" s="71"/>
      <c r="Q412" s="71"/>
      <c r="R412" s="71"/>
      <c r="S412" s="71"/>
    </row>
    <row r="413" spans="1:19" x14ac:dyDescent="0.3">
      <c r="A413" s="86" t="s">
        <v>1083</v>
      </c>
      <c r="B413" s="86" t="s">
        <v>47</v>
      </c>
      <c r="C413" s="86" t="s">
        <v>917</v>
      </c>
      <c r="D413" s="86" t="s">
        <v>919</v>
      </c>
      <c r="E413" s="86" t="s">
        <v>918</v>
      </c>
      <c r="F413" s="86" t="s">
        <v>47</v>
      </c>
      <c r="G413" s="86" t="s">
        <v>48</v>
      </c>
      <c r="H413" s="86" t="s">
        <v>141</v>
      </c>
      <c r="I413">
        <v>138770</v>
      </c>
      <c r="J413">
        <v>0</v>
      </c>
      <c r="K413">
        <v>0</v>
      </c>
      <c r="L413">
        <v>138770</v>
      </c>
      <c r="M413">
        <v>0</v>
      </c>
      <c r="N413" s="86" t="s">
        <v>1077</v>
      </c>
      <c r="O413" s="71"/>
      <c r="P413" s="71"/>
      <c r="Q413" s="71"/>
      <c r="R413" s="71"/>
      <c r="S413" s="71"/>
    </row>
    <row r="414" spans="1:19" x14ac:dyDescent="0.3">
      <c r="A414" s="86" t="s">
        <v>1083</v>
      </c>
      <c r="B414" s="86" t="s">
        <v>47</v>
      </c>
      <c r="C414" s="86" t="s">
        <v>920</v>
      </c>
      <c r="D414" s="86" t="s">
        <v>916</v>
      </c>
      <c r="E414" s="86" t="s">
        <v>921</v>
      </c>
      <c r="F414" s="86" t="s">
        <v>47</v>
      </c>
      <c r="G414" s="86" t="s">
        <v>48</v>
      </c>
      <c r="H414" s="86" t="s">
        <v>141</v>
      </c>
      <c r="I414">
        <v>216763</v>
      </c>
      <c r="J414">
        <v>0</v>
      </c>
      <c r="K414">
        <v>0</v>
      </c>
      <c r="L414">
        <v>216763</v>
      </c>
      <c r="M414">
        <v>0</v>
      </c>
      <c r="N414" s="86" t="s">
        <v>1077</v>
      </c>
    </row>
    <row r="415" spans="1:19" x14ac:dyDescent="0.3">
      <c r="A415" s="86" t="s">
        <v>1083</v>
      </c>
      <c r="B415" s="86" t="s">
        <v>47</v>
      </c>
      <c r="C415" s="86" t="s">
        <v>944</v>
      </c>
      <c r="D415" s="86" t="s">
        <v>946</v>
      </c>
      <c r="E415" s="86" t="s">
        <v>945</v>
      </c>
      <c r="F415" s="86" t="s">
        <v>47</v>
      </c>
      <c r="G415" s="86" t="s">
        <v>48</v>
      </c>
      <c r="H415" s="86" t="s">
        <v>141</v>
      </c>
      <c r="I415">
        <v>42128</v>
      </c>
      <c r="J415">
        <v>0</v>
      </c>
      <c r="K415">
        <v>0</v>
      </c>
      <c r="L415">
        <v>42128</v>
      </c>
      <c r="M415">
        <v>0</v>
      </c>
      <c r="N415" s="86" t="s">
        <v>1077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I.납품일정</vt:lpstr>
      <vt:lpstr>II.리드지재고관리</vt:lpstr>
      <vt:lpstr>RD.참조DATA</vt:lpstr>
      <vt:lpstr>RD.재고현황</vt:lpstr>
      <vt:lpstr>제품목록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철주 김</dc:creator>
  <cp:lastModifiedBy>유 현아</cp:lastModifiedBy>
  <cp:lastPrinted>2026-05-22T08:55:56Z</cp:lastPrinted>
  <dcterms:created xsi:type="dcterms:W3CDTF">2024-03-08T03:09:53Z</dcterms:created>
  <dcterms:modified xsi:type="dcterms:W3CDTF">2026-05-28T03:01:19Z</dcterms:modified>
</cp:coreProperties>
</file>